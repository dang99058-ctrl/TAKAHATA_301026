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95" windowWidth="20775" windowHeight="7620"/>
  </bookViews>
  <sheets>
    <sheet name="DETAIL " sheetId="3" r:id="rId1"/>
    <sheet name="Chart1" sheetId="51" state="hidden" r:id="rId2"/>
    <sheet name="Sheet1" sheetId="48" state="hidden" r:id="rId3"/>
    <sheet name="NAME INDEX" sheetId="53" state="hidden" r:id="rId4"/>
  </sheets>
  <calcPr calcId="124519"/>
</workbook>
</file>

<file path=xl/calcChain.xml><?xml version="1.0" encoding="utf-8"?>
<calcChain xmlns="http://schemas.openxmlformats.org/spreadsheetml/2006/main">
  <c r="N1025" i="53"/>
  <c r="Q1024"/>
  <c r="M1023"/>
  <c r="Q1021"/>
  <c r="M1020"/>
  <c r="M1019"/>
  <c r="Q1017"/>
  <c r="M1016"/>
  <c r="M1015"/>
  <c r="Q1013"/>
  <c r="N1013"/>
  <c r="Q1011"/>
  <c r="M789"/>
  <c r="M788"/>
  <c r="Q787"/>
  <c r="L3" i="48"/>
  <c r="M3"/>
  <c r="E5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B160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6" s="1"/>
  <c r="B307" s="1"/>
  <c r="B308" s="1"/>
  <c r="B309" s="1"/>
  <c r="B310" s="1"/>
  <c r="B311" s="1"/>
  <c r="B312" s="1"/>
  <c r="B313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9" s="1"/>
  <c r="B380" s="1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9"/>
  <c r="E380"/>
  <c r="E381"/>
  <c r="E382"/>
  <c r="E383"/>
  <c r="E384"/>
  <c r="E385"/>
  <c r="E386"/>
  <c r="B387"/>
  <c r="B388" s="1"/>
  <c r="B389" s="1"/>
  <c r="B390" s="1"/>
  <c r="B391" s="1"/>
  <c r="B395" s="1"/>
  <c r="B400" s="1"/>
  <c r="B401" s="1"/>
  <c r="B402" s="1"/>
  <c r="B403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B1013" s="1"/>
  <c r="B1014" s="1"/>
  <c r="B1015" s="1"/>
  <c r="B1016" s="1"/>
  <c r="B1017" s="1"/>
  <c r="B1018" s="1"/>
  <c r="B1019" s="1"/>
  <c r="B1020" s="1"/>
  <c r="B1021" s="1"/>
  <c r="B1022" s="1"/>
  <c r="B1023" s="1"/>
  <c r="B1024" s="1"/>
  <c r="B1025" s="1"/>
  <c r="B1026" s="1"/>
  <c r="B1027" s="1"/>
  <c r="B1028" s="1"/>
  <c r="B1029" s="1"/>
  <c r="B1030" s="1"/>
  <c r="B1031" s="1"/>
  <c r="B1032" s="1"/>
  <c r="B1033" s="1"/>
  <c r="B1034" s="1"/>
  <c r="B1035" s="1"/>
  <c r="B1036" s="1"/>
  <c r="B1037" s="1"/>
  <c r="B1038" s="1"/>
  <c r="B1039" s="1"/>
  <c r="B1040" s="1"/>
  <c r="B1041" s="1"/>
  <c r="B1042" s="1"/>
  <c r="B1043" s="1"/>
  <c r="B1044" s="1"/>
  <c r="B1045" s="1"/>
  <c r="B1046" s="1"/>
  <c r="B1047" s="1"/>
  <c r="B1048" s="1"/>
  <c r="B1049" s="1"/>
  <c r="B1050" s="1"/>
  <c r="B1051" s="1"/>
  <c r="B1052" s="1"/>
  <c r="B1053" s="1"/>
  <c r="B1054" s="1"/>
  <c r="B1055" s="1"/>
  <c r="B1056" s="1"/>
  <c r="B1057" s="1"/>
  <c r="B1058" s="1"/>
  <c r="B1059" s="1"/>
  <c r="B1060" s="1"/>
  <c r="B1061" s="1"/>
  <c r="B1062" s="1"/>
  <c r="B1063" s="1"/>
  <c r="B1064" s="1"/>
  <c r="B1065" s="1"/>
  <c r="B1066" s="1"/>
  <c r="B1067" s="1"/>
  <c r="B1068" s="1"/>
  <c r="B1069" s="1"/>
  <c r="B1070" s="1"/>
  <c r="B1071" s="1"/>
  <c r="B1072" s="1"/>
  <c r="B1073" s="1"/>
  <c r="B1074" s="1"/>
  <c r="B1075" s="1"/>
  <c r="B1076" s="1"/>
  <c r="B1077" s="1"/>
  <c r="B1078" s="1"/>
  <c r="B1079" s="1"/>
  <c r="B1080" s="1"/>
  <c r="B1081" s="1"/>
  <c r="B1082" s="1"/>
  <c r="B1083" s="1"/>
  <c r="B1084" s="1"/>
  <c r="B1085" s="1"/>
  <c r="B1086" s="1"/>
  <c r="B1087" s="1"/>
  <c r="B1088" s="1"/>
  <c r="B1089" s="1"/>
  <c r="B1090" s="1"/>
  <c r="B1091" s="1"/>
  <c r="B1092" s="1"/>
  <c r="B1093" s="1"/>
  <c r="B1094" s="1"/>
  <c r="B1095" s="1"/>
  <c r="B1096" s="1"/>
  <c r="B1097" s="1"/>
  <c r="B1098" s="1"/>
  <c r="B1099" s="1"/>
  <c r="B1100" s="1"/>
  <c r="B1101" s="1"/>
  <c r="B1102" s="1"/>
  <c r="B1103" s="1"/>
  <c r="B1104" s="1"/>
  <c r="B1105" s="1"/>
  <c r="B1106" s="1"/>
  <c r="B1107" s="1"/>
  <c r="B1108" s="1"/>
  <c r="B1109" s="1"/>
  <c r="B1110" s="1"/>
  <c r="B1111" s="1"/>
  <c r="B1112" s="1"/>
  <c r="B1113" s="1"/>
  <c r="B1114" s="1"/>
  <c r="B1115" s="1"/>
  <c r="B1116" s="1"/>
  <c r="B1117" s="1"/>
  <c r="B1118" s="1"/>
  <c r="B1119" s="1"/>
  <c r="B1120" s="1"/>
  <c r="B1121" s="1"/>
  <c r="B1122" s="1"/>
  <c r="B1123" s="1"/>
  <c r="B1124" s="1"/>
  <c r="B1125" s="1"/>
  <c r="B1126" s="1"/>
  <c r="B1127" s="1"/>
  <c r="B1128" s="1"/>
  <c r="B1129" s="1"/>
  <c r="B1130" s="1"/>
  <c r="B1131" s="1"/>
  <c r="B1132" s="1"/>
  <c r="B1133" s="1"/>
  <c r="B1134" s="1"/>
  <c r="B1135" s="1"/>
  <c r="B1136" s="1"/>
  <c r="B1137" s="1"/>
  <c r="B1138" s="1"/>
  <c r="B1139" s="1"/>
  <c r="B1140" s="1"/>
  <c r="B1141" s="1"/>
  <c r="B1142" s="1"/>
  <c r="B1143" s="1"/>
  <c r="B1144" s="1"/>
  <c r="B1145" s="1"/>
  <c r="B1146" s="1"/>
  <c r="B1147" s="1"/>
  <c r="B1148" s="1"/>
  <c r="B1149" s="1"/>
  <c r="B1150" s="1"/>
  <c r="B1151" s="1"/>
  <c r="B1152" s="1"/>
  <c r="B1153" s="1"/>
  <c r="B1154" s="1"/>
  <c r="B1155" s="1"/>
  <c r="B1156" s="1"/>
  <c r="B1157" s="1"/>
  <c r="B1158" s="1"/>
  <c r="B1159" s="1"/>
  <c r="B1160" s="1"/>
  <c r="B1161" s="1"/>
  <c r="B1162" s="1"/>
  <c r="B1163" s="1"/>
  <c r="B1164" s="1"/>
  <c r="B1165" s="1"/>
  <c r="B1166" s="1"/>
  <c r="B1167" s="1"/>
  <c r="B1168" s="1"/>
  <c r="B1169" s="1"/>
  <c r="B1170" s="1"/>
  <c r="B1171" s="1"/>
  <c r="B1172" s="1"/>
  <c r="B1173" s="1"/>
  <c r="B1174" s="1"/>
  <c r="B1175" s="1"/>
  <c r="B1176" s="1"/>
  <c r="B1177" s="1"/>
  <c r="B1178" s="1"/>
  <c r="B1179" s="1"/>
  <c r="B1180" s="1"/>
  <c r="B1181" s="1"/>
  <c r="B1182" s="1"/>
  <c r="B1183" s="1"/>
  <c r="B1184" s="1"/>
  <c r="B1185" s="1"/>
  <c r="B1186" s="1"/>
  <c r="B1187" s="1"/>
  <c r="B1188" s="1"/>
  <c r="B1189" s="1"/>
  <c r="B1190" s="1"/>
  <c r="B1191" s="1"/>
  <c r="B1192" s="1"/>
  <c r="B1193" s="1"/>
  <c r="B1194" s="1"/>
  <c r="B1195" s="1"/>
  <c r="B1196" s="1"/>
  <c r="B1197" s="1"/>
  <c r="B1198" s="1"/>
  <c r="B1199" s="1"/>
  <c r="B1200" s="1"/>
  <c r="B1201" s="1"/>
  <c r="B1202" s="1"/>
  <c r="B1203" s="1"/>
  <c r="B1204" s="1"/>
  <c r="B1205" s="1"/>
  <c r="B1206" s="1"/>
  <c r="B1207" s="1"/>
  <c r="B1208" s="1"/>
  <c r="B1209" s="1"/>
  <c r="B1210" s="1"/>
  <c r="B1211" s="1"/>
  <c r="B1212" s="1"/>
  <c r="B1213" s="1"/>
  <c r="B1214" s="1"/>
  <c r="B1215" s="1"/>
  <c r="B1216" s="1"/>
  <c r="B1217" s="1"/>
  <c r="B1218" s="1"/>
  <c r="B1219" s="1"/>
  <c r="B1220" s="1"/>
  <c r="B1221" s="1"/>
  <c r="B1222" s="1"/>
  <c r="B1223" s="1"/>
  <c r="B1224" s="1"/>
  <c r="B1225" s="1"/>
  <c r="B1226" s="1"/>
  <c r="B1227" s="1"/>
  <c r="B1228" s="1"/>
  <c r="B1229" s="1"/>
  <c r="B1230" s="1"/>
  <c r="B1231" s="1"/>
  <c r="B1232" s="1"/>
  <c r="B1233" s="1"/>
  <c r="B1234" s="1"/>
  <c r="B1235" s="1"/>
  <c r="B1236" s="1"/>
  <c r="B1237" s="1"/>
  <c r="B1238" s="1"/>
  <c r="B1239" s="1"/>
  <c r="B1240" s="1"/>
  <c r="B1241" s="1"/>
  <c r="B1242" s="1"/>
  <c r="B1243" s="1"/>
  <c r="B1244" s="1"/>
  <c r="B1245" s="1"/>
  <c r="B1246" s="1"/>
  <c r="B1247" s="1"/>
  <c r="B1248" s="1"/>
  <c r="B1249" s="1"/>
  <c r="B1250" s="1"/>
  <c r="B1251" s="1"/>
  <c r="B1252" s="1"/>
  <c r="B1253" s="1"/>
  <c r="B1254" s="1"/>
  <c r="B1255" s="1"/>
  <c r="B1256" s="1"/>
  <c r="B1257" s="1"/>
  <c r="B1258" s="1"/>
  <c r="B1259" s="1"/>
  <c r="B1260" s="1"/>
  <c r="B1261" s="1"/>
  <c r="B1262" s="1"/>
  <c r="B1263" s="1"/>
  <c r="B1264" s="1"/>
  <c r="B1265" s="1"/>
  <c r="B1266" s="1"/>
  <c r="B1267" s="1"/>
  <c r="B1268" s="1"/>
  <c r="B1269" s="1"/>
  <c r="B1270" s="1"/>
  <c r="B1271" s="1"/>
  <c r="B1272" s="1"/>
  <c r="B1273" s="1"/>
  <c r="B1274" s="1"/>
  <c r="B1275" s="1"/>
  <c r="B1276" s="1"/>
  <c r="B1277" s="1"/>
  <c r="B1278" s="1"/>
  <c r="B1279" s="1"/>
  <c r="B1280" s="1"/>
  <c r="B1281" s="1"/>
  <c r="B1282" s="1"/>
  <c r="B1283" s="1"/>
  <c r="B1284" s="1"/>
  <c r="B1285" s="1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30"/>
  <c r="E431"/>
  <c r="E432"/>
  <c r="E433"/>
  <c r="E434"/>
  <c r="E435"/>
  <c r="E436"/>
  <c r="E437"/>
  <c r="E438"/>
  <c r="E471"/>
  <c r="E474"/>
  <c r="E475"/>
  <c r="E476"/>
  <c r="E477"/>
  <c r="E478"/>
  <c r="E479"/>
  <c r="E480"/>
  <c r="E481"/>
  <c r="E482"/>
  <c r="E483"/>
  <c r="E484"/>
  <c r="E485"/>
  <c r="E486"/>
  <c r="E487"/>
  <c r="E488"/>
  <c r="E489"/>
  <c r="E491"/>
  <c r="E494"/>
  <c r="E495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6"/>
  <c r="E587"/>
  <c r="E588"/>
  <c r="E589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20"/>
  <c r="E621"/>
  <c r="E622"/>
  <c r="E623"/>
  <c r="E624"/>
  <c r="E633"/>
  <c r="E638"/>
  <c r="E639"/>
  <c r="E642"/>
  <c r="E643"/>
  <c r="E644"/>
  <c r="E646"/>
  <c r="E647"/>
  <c r="E648"/>
  <c r="E649"/>
  <c r="E651"/>
  <c r="E652"/>
  <c r="E653"/>
  <c r="E659"/>
  <c r="E662"/>
  <c r="E663"/>
  <c r="E664"/>
  <c r="E665"/>
  <c r="E666"/>
  <c r="E667"/>
  <c r="E668"/>
  <c r="E669"/>
  <c r="E670"/>
  <c r="E675"/>
  <c r="E676"/>
  <c r="E677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3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1004"/>
  <c r="E1005"/>
  <c r="E1006"/>
  <c r="E1007"/>
  <c r="E1008"/>
  <c r="E1009"/>
  <c r="E1010"/>
  <c r="E1011"/>
  <c r="E1012"/>
  <c r="E1013"/>
  <c r="E1014"/>
  <c r="E1015"/>
  <c r="E1016"/>
  <c r="E1017"/>
  <c r="E1018"/>
  <c r="E1019"/>
  <c r="E1020"/>
  <c r="E1021"/>
  <c r="E1022"/>
  <c r="E1023"/>
  <c r="E1024"/>
  <c r="E1025"/>
  <c r="E1026"/>
  <c r="E1027"/>
  <c r="E1028"/>
  <c r="E1029"/>
  <c r="E1030"/>
  <c r="E1031"/>
  <c r="E1032"/>
  <c r="E1033"/>
  <c r="E1034"/>
  <c r="E1035"/>
  <c r="E1036"/>
  <c r="E1037"/>
  <c r="E1038"/>
  <c r="E1039"/>
  <c r="E1040"/>
  <c r="E1041"/>
  <c r="E1042"/>
  <c r="E1043"/>
  <c r="E1060"/>
  <c r="E1061"/>
  <c r="E1062"/>
  <c r="E1063"/>
  <c r="E1064"/>
  <c r="E1065"/>
  <c r="E1066"/>
  <c r="E1067"/>
  <c r="E1068"/>
  <c r="E1069"/>
  <c r="E1070"/>
  <c r="E1071"/>
  <c r="E1072"/>
  <c r="E1073"/>
  <c r="E1074"/>
  <c r="E1075"/>
  <c r="E1076"/>
  <c r="E1077"/>
  <c r="E1078"/>
  <c r="E1079"/>
  <c r="E1080"/>
  <c r="E1081"/>
  <c r="E1082"/>
  <c r="E1083"/>
  <c r="E1084"/>
  <c r="E1085"/>
  <c r="E1086"/>
  <c r="E1087"/>
  <c r="E1088"/>
  <c r="E1089"/>
  <c r="E1090"/>
  <c r="E1091"/>
  <c r="E1092"/>
  <c r="E1093"/>
  <c r="E1094"/>
  <c r="E1095"/>
  <c r="E1096"/>
  <c r="E1097"/>
  <c r="E1098"/>
  <c r="E1099"/>
  <c r="E1100"/>
  <c r="E1115"/>
  <c r="E1116"/>
  <c r="E1117"/>
  <c r="E1118"/>
  <c r="E1119"/>
  <c r="E1120"/>
  <c r="E1121"/>
  <c r="E1122"/>
  <c r="E1123"/>
  <c r="E1124"/>
  <c r="E1125"/>
  <c r="E1127"/>
  <c r="E1128"/>
  <c r="E1129"/>
  <c r="E1130"/>
  <c r="E1131"/>
  <c r="E1132"/>
  <c r="E1133"/>
  <c r="E1134"/>
  <c r="E1135"/>
  <c r="E1136"/>
  <c r="E1137"/>
  <c r="E1138"/>
  <c r="E1139"/>
  <c r="E1140"/>
  <c r="E1141"/>
  <c r="E1142"/>
  <c r="E1143"/>
  <c r="E1144"/>
  <c r="E1145"/>
  <c r="E1146"/>
  <c r="E1147"/>
  <c r="E1148"/>
  <c r="E1149"/>
  <c r="E1150"/>
  <c r="E1151"/>
  <c r="E1152"/>
  <c r="E11" i="53"/>
  <c r="E29"/>
  <c r="E15"/>
  <c r="E32"/>
  <c r="E24"/>
  <c r="E25"/>
  <c r="E21"/>
  <c r="E13"/>
  <c r="E31"/>
  <c r="E6"/>
  <c r="E22"/>
  <c r="E18"/>
  <c r="E27"/>
  <c r="E19"/>
  <c r="E16"/>
  <c r="E28"/>
  <c r="E30"/>
  <c r="E7"/>
  <c r="E12"/>
  <c r="E8"/>
  <c r="E14"/>
  <c r="E9"/>
  <c r="E10"/>
  <c r="E23"/>
  <c r="E20"/>
  <c r="E26"/>
  <c r="E17"/>
  <c r="E5" l="1"/>
</calcChain>
</file>

<file path=xl/sharedStrings.xml><?xml version="1.0" encoding="utf-8"?>
<sst xmlns="http://schemas.openxmlformats.org/spreadsheetml/2006/main" count="8099" uniqueCount="3873">
  <si>
    <t>DAILY MACHINE OPERATION CHECK SHEET</t>
  </si>
  <si>
    <t>PART</t>
  </si>
  <si>
    <t>FINISH</t>
  </si>
  <si>
    <t>P.I.C</t>
  </si>
  <si>
    <t>TIME ( h )</t>
  </si>
  <si>
    <t>DEPT         :  Tooling</t>
  </si>
  <si>
    <t>DATE</t>
  </si>
  <si>
    <t>SET UP</t>
  </si>
  <si>
    <t>AUTOMATION</t>
  </si>
  <si>
    <t>TOTAL UTILIZATION RATE OF DAY (%)</t>
  </si>
  <si>
    <t>WITH OPERATOR</t>
  </si>
  <si>
    <t>INDEX</t>
  </si>
  <si>
    <t>CLASSIFICATION</t>
  </si>
  <si>
    <t>REMARK</t>
  </si>
  <si>
    <t>ROBODRILL</t>
  </si>
  <si>
    <t>GEAR HOBBING MC</t>
  </si>
  <si>
    <t>MILLING SHIZOUKA</t>
  </si>
  <si>
    <t>MILLING KE55</t>
  </si>
  <si>
    <t>CNC LATHE</t>
  </si>
  <si>
    <t>LATHE LR55A</t>
  </si>
  <si>
    <t>VERTICAL MC CENTER</t>
  </si>
  <si>
    <t>CNC AUTO LATHE</t>
  </si>
  <si>
    <t>SEP</t>
  </si>
  <si>
    <t>WIRE CUT LN2W</t>
  </si>
  <si>
    <t>EDM AG40L</t>
  </si>
  <si>
    <t>LATHE TAKISAWA</t>
  </si>
  <si>
    <t>EDM AG60L</t>
  </si>
  <si>
    <t>EDM FORM 300</t>
  </si>
  <si>
    <t>DRILLING EDM CHMER</t>
  </si>
  <si>
    <t>% LOST TIME</t>
  </si>
  <si>
    <t>MACHINE</t>
  </si>
  <si>
    <t>ACC FIX ASSETS</t>
  </si>
  <si>
    <t>PRODUCT CODE</t>
  </si>
  <si>
    <t>RZ001</t>
  </si>
  <si>
    <t>CN132</t>
  </si>
  <si>
    <t>FX120</t>
  </si>
  <si>
    <t>TP109</t>
  </si>
  <si>
    <t>FX350</t>
  </si>
  <si>
    <t>CN048</t>
  </si>
  <si>
    <t>CN096</t>
  </si>
  <si>
    <t>CN148</t>
  </si>
  <si>
    <t>FX146</t>
  </si>
  <si>
    <t>FX228</t>
  </si>
  <si>
    <t>FX371</t>
  </si>
  <si>
    <t>CN150</t>
  </si>
  <si>
    <t>CN061</t>
  </si>
  <si>
    <t>FX174</t>
  </si>
  <si>
    <t>FX024</t>
  </si>
  <si>
    <t>RC009</t>
  </si>
  <si>
    <t>RC029</t>
  </si>
  <si>
    <t>RC022</t>
  </si>
  <si>
    <t>RC026</t>
  </si>
  <si>
    <t>RC030</t>
  </si>
  <si>
    <t>RC031</t>
  </si>
  <si>
    <t>RC014</t>
  </si>
  <si>
    <t>RC014-1</t>
  </si>
  <si>
    <t>RC010</t>
  </si>
  <si>
    <t>RC025-1</t>
  </si>
  <si>
    <t>RC023</t>
  </si>
  <si>
    <t>FX026</t>
  </si>
  <si>
    <t>FX309</t>
  </si>
  <si>
    <t>FX341</t>
  </si>
  <si>
    <t>FX341-1</t>
  </si>
  <si>
    <t>FX300</t>
  </si>
  <si>
    <t>FX190</t>
  </si>
  <si>
    <t>CE001</t>
  </si>
  <si>
    <t>TP001</t>
  </si>
  <si>
    <t>TP002</t>
  </si>
  <si>
    <t>BR018</t>
  </si>
  <si>
    <t>BR016</t>
  </si>
  <si>
    <t>FX095</t>
  </si>
  <si>
    <t>FX096</t>
  </si>
  <si>
    <t>KC003</t>
  </si>
  <si>
    <t>KC067</t>
  </si>
  <si>
    <t>FX391</t>
  </si>
  <si>
    <t>FX085</t>
  </si>
  <si>
    <t>FX356</t>
  </si>
  <si>
    <t>FX356-1</t>
  </si>
  <si>
    <t>FX219</t>
  </si>
  <si>
    <t>FX367</t>
  </si>
  <si>
    <t>FX387</t>
  </si>
  <si>
    <t>FX387-1</t>
  </si>
  <si>
    <t>FX116</t>
  </si>
  <si>
    <t>FX117</t>
  </si>
  <si>
    <t>FX118</t>
  </si>
  <si>
    <t>FX218</t>
  </si>
  <si>
    <t>FX357</t>
  </si>
  <si>
    <t>FX357-1</t>
  </si>
  <si>
    <t>FX392</t>
  </si>
  <si>
    <t>FX344</t>
  </si>
  <si>
    <t>FX344-1</t>
  </si>
  <si>
    <t>FX216</t>
  </si>
  <si>
    <t>TT031</t>
  </si>
  <si>
    <t>TT028</t>
  </si>
  <si>
    <t>TT073</t>
  </si>
  <si>
    <t>RC006</t>
  </si>
  <si>
    <t>FX337</t>
  </si>
  <si>
    <t>FX336</t>
  </si>
  <si>
    <t>FX064</t>
  </si>
  <si>
    <t>FX016</t>
  </si>
  <si>
    <t>FX013</t>
  </si>
  <si>
    <t>FX012</t>
  </si>
  <si>
    <t>FX082</t>
  </si>
  <si>
    <t>FX011</t>
  </si>
  <si>
    <t>FX308</t>
  </si>
  <si>
    <t>FX014</t>
  </si>
  <si>
    <t>FX010</t>
  </si>
  <si>
    <t>FX065</t>
  </si>
  <si>
    <t>FX203</t>
  </si>
  <si>
    <t>FX189</t>
  </si>
  <si>
    <t>FX122</t>
  </si>
  <si>
    <t>FX084</t>
  </si>
  <si>
    <t>FX127</t>
  </si>
  <si>
    <t>FX345</t>
  </si>
  <si>
    <t>FX037</t>
  </si>
  <si>
    <t>FX306</t>
  </si>
  <si>
    <t>FX323-12I</t>
  </si>
  <si>
    <t>FX323</t>
  </si>
  <si>
    <t>FX323-4I</t>
  </si>
  <si>
    <t>FX323-8I</t>
  </si>
  <si>
    <t>FX323-14I</t>
  </si>
  <si>
    <t>FX323-1I</t>
  </si>
  <si>
    <t>FX323-6I</t>
  </si>
  <si>
    <t>FX323-10I</t>
  </si>
  <si>
    <t>FX323-13I</t>
  </si>
  <si>
    <t>FX323-2I</t>
  </si>
  <si>
    <t>FX323-5I</t>
  </si>
  <si>
    <t>FX323-9I</t>
  </si>
  <si>
    <t>FX323-15I</t>
  </si>
  <si>
    <t>FX323-3I</t>
  </si>
  <si>
    <t>FX323-7I</t>
  </si>
  <si>
    <t>FX323-11I</t>
  </si>
  <si>
    <t>FX170</t>
  </si>
  <si>
    <t>FX348</t>
  </si>
  <si>
    <t>FX333</t>
  </si>
  <si>
    <t>FX161</t>
  </si>
  <si>
    <t>KC147</t>
  </si>
  <si>
    <t>KC131</t>
  </si>
  <si>
    <t>KC061</t>
  </si>
  <si>
    <t>KC062</t>
  </si>
  <si>
    <t>KM002</t>
  </si>
  <si>
    <t>RC013</t>
  </si>
  <si>
    <t>CN131</t>
  </si>
  <si>
    <t>CN129</t>
  </si>
  <si>
    <t>CN130</t>
  </si>
  <si>
    <t>TT023</t>
  </si>
  <si>
    <t>TP003</t>
  </si>
  <si>
    <t>TP111</t>
  </si>
  <si>
    <t>TP004</t>
  </si>
  <si>
    <t>TP112</t>
  </si>
  <si>
    <t>TP005</t>
  </si>
  <si>
    <t>TP006</t>
  </si>
  <si>
    <t>TP007</t>
  </si>
  <si>
    <t>TP105</t>
  </si>
  <si>
    <t>TP008</t>
  </si>
  <si>
    <t>TP008-1</t>
  </si>
  <si>
    <t>TP106</t>
  </si>
  <si>
    <t>TP009</t>
  </si>
  <si>
    <t>TP010</t>
  </si>
  <si>
    <t>TP011</t>
  </si>
  <si>
    <t>TP107</t>
  </si>
  <si>
    <t>TP012</t>
  </si>
  <si>
    <t>TP013</t>
  </si>
  <si>
    <t>TP108</t>
  </si>
  <si>
    <t>TP015</t>
  </si>
  <si>
    <t>TP071</t>
  </si>
  <si>
    <t>TP016</t>
  </si>
  <si>
    <t>TP017</t>
  </si>
  <si>
    <t>TP017-1</t>
  </si>
  <si>
    <t>TP017-2</t>
  </si>
  <si>
    <t>TP017-3</t>
  </si>
  <si>
    <t>TP017-4</t>
  </si>
  <si>
    <t>TP017-5</t>
  </si>
  <si>
    <t>TP017-6</t>
  </si>
  <si>
    <t>TP017-7</t>
  </si>
  <si>
    <t>TP017-8</t>
  </si>
  <si>
    <t>TP017-9</t>
  </si>
  <si>
    <t>FX351</t>
  </si>
  <si>
    <t>HT030</t>
  </si>
  <si>
    <t>KC024</t>
  </si>
  <si>
    <t>ST008</t>
  </si>
  <si>
    <t>TP018</t>
  </si>
  <si>
    <t>TP019</t>
  </si>
  <si>
    <t>FX208</t>
  </si>
  <si>
    <t>ST009</t>
  </si>
  <si>
    <t>CN120</t>
  </si>
  <si>
    <t>CN120-1</t>
  </si>
  <si>
    <t>FX079</t>
  </si>
  <si>
    <t>FX295</t>
  </si>
  <si>
    <t>HT031</t>
  </si>
  <si>
    <t>HT034</t>
  </si>
  <si>
    <t>HT033</t>
  </si>
  <si>
    <t>FX108</t>
  </si>
  <si>
    <t>FX215</t>
  </si>
  <si>
    <t>CE003</t>
  </si>
  <si>
    <t>CN146</t>
  </si>
  <si>
    <t>TT045</t>
  </si>
  <si>
    <t>TS008</t>
  </si>
  <si>
    <t>ST001</t>
  </si>
  <si>
    <t>KC006</t>
  </si>
  <si>
    <t>TT071</t>
  </si>
  <si>
    <t>TT067</t>
  </si>
  <si>
    <t>TT076</t>
  </si>
  <si>
    <t>ST010</t>
  </si>
  <si>
    <t>ST013</t>
  </si>
  <si>
    <t>KC060</t>
  </si>
  <si>
    <t>KC012</t>
  </si>
  <si>
    <t>CN001</t>
  </si>
  <si>
    <t>CN002</t>
  </si>
  <si>
    <t>CN027</t>
  </si>
  <si>
    <t>CN047</t>
  </si>
  <si>
    <t>TS005</t>
  </si>
  <si>
    <t>YU001</t>
  </si>
  <si>
    <t>TS004</t>
  </si>
  <si>
    <t>TS009</t>
  </si>
  <si>
    <t>KM001</t>
  </si>
  <si>
    <t>FX136</t>
  </si>
  <si>
    <t>KC031</t>
  </si>
  <si>
    <t>CN117</t>
  </si>
  <si>
    <t>CN127</t>
  </si>
  <si>
    <t>CN128</t>
  </si>
  <si>
    <t>CN054</t>
  </si>
  <si>
    <t>CN055</t>
  </si>
  <si>
    <t>CN030</t>
  </si>
  <si>
    <t>CN042</t>
  </si>
  <si>
    <t>CN043</t>
  </si>
  <si>
    <t>CN044</t>
  </si>
  <si>
    <t>CN025</t>
  </si>
  <si>
    <t>CN026</t>
  </si>
  <si>
    <t>CN016</t>
  </si>
  <si>
    <t>CN017</t>
  </si>
  <si>
    <t>CN007</t>
  </si>
  <si>
    <t>CN008</t>
  </si>
  <si>
    <t>CN009</t>
  </si>
  <si>
    <t>FX362</t>
  </si>
  <si>
    <t>FX301</t>
  </si>
  <si>
    <t>FX169</t>
  </si>
  <si>
    <t>FX346</t>
  </si>
  <si>
    <t>FX346-1</t>
  </si>
  <si>
    <t>TT046</t>
  </si>
  <si>
    <t>TP020</t>
  </si>
  <si>
    <t>TP021</t>
  </si>
  <si>
    <t>FX125</t>
  </si>
  <si>
    <t>FX112</t>
  </si>
  <si>
    <t>KC011</t>
  </si>
  <si>
    <t>KC041</t>
  </si>
  <si>
    <t>FX036</t>
  </si>
  <si>
    <t>FX034</t>
  </si>
  <si>
    <t>FX381-1I</t>
  </si>
  <si>
    <t>FX089</t>
  </si>
  <si>
    <t>FX060</t>
  </si>
  <si>
    <t>FX381</t>
  </si>
  <si>
    <t>FX381-2I</t>
  </si>
  <si>
    <t>FX381-3I</t>
  </si>
  <si>
    <t>FX075</t>
  </si>
  <si>
    <t>FX101</t>
  </si>
  <si>
    <t>CN141</t>
  </si>
  <si>
    <t>FX380</t>
  </si>
  <si>
    <t>FX380-1</t>
  </si>
  <si>
    <t>FX380-2</t>
  </si>
  <si>
    <t>FX383</t>
  </si>
  <si>
    <t>FX383-1</t>
  </si>
  <si>
    <t>FX021</t>
  </si>
  <si>
    <t>FX021-1</t>
  </si>
  <si>
    <t>FX296</t>
  </si>
  <si>
    <t>FX296-1</t>
  </si>
  <si>
    <t>FX293-1</t>
  </si>
  <si>
    <t>FX313</t>
  </si>
  <si>
    <t>FX182</t>
  </si>
  <si>
    <t>FX199</t>
  </si>
  <si>
    <t>FX359</t>
  </si>
  <si>
    <t>FX359-1</t>
  </si>
  <si>
    <t>FX374</t>
  </si>
  <si>
    <t>FX206</t>
  </si>
  <si>
    <t>FX315</t>
  </si>
  <si>
    <t>FX315-1I</t>
  </si>
  <si>
    <t>FX171</t>
  </si>
  <si>
    <t>FX384</t>
  </si>
  <si>
    <t>CN023</t>
  </si>
  <si>
    <t>CN037</t>
  </si>
  <si>
    <t>CN038</t>
  </si>
  <si>
    <t>CN078</t>
  </si>
  <si>
    <t>CN079</t>
  </si>
  <si>
    <t>CN149</t>
  </si>
  <si>
    <t>HT032</t>
  </si>
  <si>
    <t>KM003</t>
  </si>
  <si>
    <t>KM004</t>
  </si>
  <si>
    <t>TT024</t>
  </si>
  <si>
    <t>CN157</t>
  </si>
  <si>
    <t>KM011</t>
  </si>
  <si>
    <t>CN112</t>
  </si>
  <si>
    <t>CN119</t>
  </si>
  <si>
    <t>BR023</t>
  </si>
  <si>
    <t>FX069</t>
  </si>
  <si>
    <t>CN062</t>
  </si>
  <si>
    <t>CN063</t>
  </si>
  <si>
    <t>CN107</t>
  </si>
  <si>
    <t>BR021</t>
  </si>
  <si>
    <t>BR020</t>
  </si>
  <si>
    <t>PN002</t>
  </si>
  <si>
    <t>PN001</t>
  </si>
  <si>
    <t>CN067</t>
  </si>
  <si>
    <t>CN068</t>
  </si>
  <si>
    <t>BR024</t>
  </si>
  <si>
    <t>CN101</t>
  </si>
  <si>
    <t>CN102</t>
  </si>
  <si>
    <t>BR010</t>
  </si>
  <si>
    <t>CN143</t>
  </si>
  <si>
    <t>RC007</t>
  </si>
  <si>
    <t>TT044</t>
  </si>
  <si>
    <t>RC021</t>
  </si>
  <si>
    <t>TP023</t>
  </si>
  <si>
    <t>TP024</t>
  </si>
  <si>
    <t>KC130</t>
  </si>
  <si>
    <t>FX211</t>
  </si>
  <si>
    <t>FX188</t>
  </si>
  <si>
    <t>FX212</t>
  </si>
  <si>
    <t>FX186</t>
  </si>
  <si>
    <t>TT035</t>
  </si>
  <si>
    <t>TT034</t>
  </si>
  <si>
    <t>RC019-2</t>
  </si>
  <si>
    <t>RC004</t>
  </si>
  <si>
    <t>RC027</t>
  </si>
  <si>
    <t>RC028</t>
  </si>
  <si>
    <t>FX001</t>
  </si>
  <si>
    <t>FX002</t>
  </si>
  <si>
    <t>FX121</t>
  </si>
  <si>
    <t>FX109</t>
  </si>
  <si>
    <t>FX070</t>
  </si>
  <si>
    <t>FX071</t>
  </si>
  <si>
    <t>BR008</t>
  </si>
  <si>
    <t>CN144</t>
  </si>
  <si>
    <t>TS003</t>
  </si>
  <si>
    <t>YK002</t>
  </si>
  <si>
    <t>CN110</t>
  </si>
  <si>
    <t>CN074</t>
  </si>
  <si>
    <t>CN075</t>
  </si>
  <si>
    <t>CN089</t>
  </si>
  <si>
    <t>CN090</t>
  </si>
  <si>
    <t>CN091</t>
  </si>
  <si>
    <t>CN092</t>
  </si>
  <si>
    <t>CN076</t>
  </si>
  <si>
    <t>CN031</t>
  </si>
  <si>
    <t>CN056</t>
  </si>
  <si>
    <t>BR022</t>
  </si>
  <si>
    <t>KM005</t>
  </si>
  <si>
    <t>KM016</t>
  </si>
  <si>
    <t>KM017</t>
  </si>
  <si>
    <t>KM018</t>
  </si>
  <si>
    <t>KM006</t>
  </si>
  <si>
    <t>KM010</t>
  </si>
  <si>
    <t>KM012</t>
  </si>
  <si>
    <t>KM014</t>
  </si>
  <si>
    <t>KM015</t>
  </si>
  <si>
    <t>FX140</t>
  </si>
  <si>
    <t>TP025</t>
  </si>
  <si>
    <t>TP026</t>
  </si>
  <si>
    <t>TP027</t>
  </si>
  <si>
    <t>TP028</t>
  </si>
  <si>
    <t>TP030</t>
  </si>
  <si>
    <t>BR025</t>
  </si>
  <si>
    <t>TP031</t>
  </si>
  <si>
    <t>TP033</t>
  </si>
  <si>
    <t>TP034</t>
  </si>
  <si>
    <t>TP035</t>
  </si>
  <si>
    <t>TP110</t>
  </si>
  <si>
    <t>TP036</t>
  </si>
  <si>
    <t>TP037</t>
  </si>
  <si>
    <t>TP038</t>
  </si>
  <si>
    <t>TP072</t>
  </si>
  <si>
    <t>TP041</t>
  </si>
  <si>
    <t>TP042</t>
  </si>
  <si>
    <t>TP043</t>
  </si>
  <si>
    <t>TP044</t>
  </si>
  <si>
    <t>TP045</t>
  </si>
  <si>
    <t>TP046</t>
  </si>
  <si>
    <t>TP047</t>
  </si>
  <si>
    <t>TP066</t>
  </si>
  <si>
    <t>TP048</t>
  </si>
  <si>
    <t>TP049</t>
  </si>
  <si>
    <t>TP061</t>
  </si>
  <si>
    <t>TP050</t>
  </si>
  <si>
    <t>FX343</t>
  </si>
  <si>
    <t>TP069</t>
  </si>
  <si>
    <t>TP052</t>
  </si>
  <si>
    <t>TP067</t>
  </si>
  <si>
    <t>TP053</t>
  </si>
  <si>
    <t>TP054</t>
  </si>
  <si>
    <t>TP075</t>
  </si>
  <si>
    <t>TP056</t>
  </si>
  <si>
    <t>TP057</t>
  </si>
  <si>
    <t>TP058</t>
  </si>
  <si>
    <t>RC001-1</t>
  </si>
  <si>
    <t>KC028</t>
  </si>
  <si>
    <t>KC039</t>
  </si>
  <si>
    <t>FX103</t>
  </si>
  <si>
    <t>FX053</t>
  </si>
  <si>
    <t>FX104</t>
  </si>
  <si>
    <t>RC002</t>
  </si>
  <si>
    <t>KC029</t>
  </si>
  <si>
    <t>KC040</t>
  </si>
  <si>
    <t>CN123</t>
  </si>
  <si>
    <t>FX299</t>
  </si>
  <si>
    <t>FX305</t>
  </si>
  <si>
    <t>FX331</t>
  </si>
  <si>
    <t>RC002-1</t>
  </si>
  <si>
    <t>FX056</t>
  </si>
  <si>
    <t>RC003</t>
  </si>
  <si>
    <t>FX144</t>
  </si>
  <si>
    <t>FX172</t>
  </si>
  <si>
    <t>FX054</t>
  </si>
  <si>
    <t>FX145</t>
  </si>
  <si>
    <t>FX055</t>
  </si>
  <si>
    <t>FX072</t>
  </si>
  <si>
    <t>FX005</t>
  </si>
  <si>
    <t>FX147</t>
  </si>
  <si>
    <t>FX051</t>
  </si>
  <si>
    <t>FX027</t>
  </si>
  <si>
    <t>FX260</t>
  </si>
  <si>
    <t>FX263</t>
  </si>
  <si>
    <t>FX268</t>
  </si>
  <si>
    <t>FX149</t>
  </si>
  <si>
    <t>KC036</t>
  </si>
  <si>
    <t>FX148</t>
  </si>
  <si>
    <t>FX029</t>
  </si>
  <si>
    <t>FX030</t>
  </si>
  <si>
    <t>FX058</t>
  </si>
  <si>
    <t>FX195</t>
  </si>
  <si>
    <t>RC003-1</t>
  </si>
  <si>
    <t>FX198</t>
  </si>
  <si>
    <t>FX128</t>
  </si>
  <si>
    <t>FX310</t>
  </si>
  <si>
    <t>FX177</t>
  </si>
  <si>
    <t>FX153</t>
  </si>
  <si>
    <t>FX154</t>
  </si>
  <si>
    <t>FX031</t>
  </si>
  <si>
    <t>CN033</t>
  </si>
  <si>
    <t>FX311</t>
  </si>
  <si>
    <t>FX063</t>
  </si>
  <si>
    <t>CN032</t>
  </si>
  <si>
    <t>FX316</t>
  </si>
  <si>
    <t>FX261</t>
  </si>
  <si>
    <t>FX335</t>
  </si>
  <si>
    <t>KC035</t>
  </si>
  <si>
    <t>CN052</t>
  </si>
  <si>
    <t>CN053</t>
  </si>
  <si>
    <t>CN039</t>
  </si>
  <si>
    <t>CN040</t>
  </si>
  <si>
    <t>CN041</t>
  </si>
  <si>
    <t>CN020</t>
  </si>
  <si>
    <t>CN021</t>
  </si>
  <si>
    <t>CN004</t>
  </si>
  <si>
    <t>CN005</t>
  </si>
  <si>
    <t>CN006</t>
  </si>
  <si>
    <t>CN152</t>
  </si>
  <si>
    <t>CN029</t>
  </si>
  <si>
    <t>FX052</t>
  </si>
  <si>
    <t>FX028</t>
  </si>
  <si>
    <t>CN133</t>
  </si>
  <si>
    <t>KC048</t>
  </si>
  <si>
    <t>CN124</t>
  </si>
  <si>
    <t>FX338</t>
  </si>
  <si>
    <t>FX264</t>
  </si>
  <si>
    <t>FX266</t>
  </si>
  <si>
    <t>FX267</t>
  </si>
  <si>
    <t>FX269</t>
  </si>
  <si>
    <t>FX179</t>
  </si>
  <si>
    <t>FX181</t>
  </si>
  <si>
    <t>FX180</t>
  </si>
  <si>
    <t>FX057</t>
  </si>
  <si>
    <t>FX204</t>
  </si>
  <si>
    <t>FX196</t>
  </si>
  <si>
    <t>FX205</t>
  </si>
  <si>
    <t>FX081</t>
  </si>
  <si>
    <t>FX032</t>
  </si>
  <si>
    <t>FX006</t>
  </si>
  <si>
    <t>FX080</t>
  </si>
  <si>
    <t>FX007</t>
  </si>
  <si>
    <t>FX078</t>
  </si>
  <si>
    <t>FX332</t>
  </si>
  <si>
    <t>CN010</t>
  </si>
  <si>
    <t>CN011</t>
  </si>
  <si>
    <t>CN045</t>
  </si>
  <si>
    <t>CN046</t>
  </si>
  <si>
    <t>FX176</t>
  </si>
  <si>
    <t>FX150</t>
  </si>
  <si>
    <t>FX033</t>
  </si>
  <si>
    <t>FX151</t>
  </si>
  <si>
    <t>FX152</t>
  </si>
  <si>
    <t>FX262</t>
  </si>
  <si>
    <t>KC122</t>
  </si>
  <si>
    <t>FX142</t>
  </si>
  <si>
    <t>FX062</t>
  </si>
  <si>
    <t>FX143</t>
  </si>
  <si>
    <t>FX050</t>
  </si>
  <si>
    <t>FX194</t>
  </si>
  <si>
    <t>FX193</t>
  </si>
  <si>
    <t>FX298</t>
  </si>
  <si>
    <t>FX175</t>
  </si>
  <si>
    <t>KC129</t>
  </si>
  <si>
    <t>KC102</t>
  </si>
  <si>
    <t>KC064</t>
  </si>
  <si>
    <t>KC032</t>
  </si>
  <si>
    <t>FX265</t>
  </si>
  <si>
    <t>KC063</t>
  </si>
  <si>
    <t>KC056</t>
  </si>
  <si>
    <t>KC093</t>
  </si>
  <si>
    <t>KC030</t>
  </si>
  <si>
    <t>KC075</t>
  </si>
  <si>
    <t>KC104</t>
  </si>
  <si>
    <t>KC098</t>
  </si>
  <si>
    <t>KC103</t>
  </si>
  <si>
    <t>KC066</t>
  </si>
  <si>
    <t>KC034</t>
  </si>
  <si>
    <t>KC054</t>
  </si>
  <si>
    <t>KC078</t>
  </si>
  <si>
    <t>KC077</t>
  </si>
  <si>
    <t>KC038</t>
  </si>
  <si>
    <t>KC042</t>
  </si>
  <si>
    <t>KC100</t>
  </si>
  <si>
    <t>KC094</t>
  </si>
  <si>
    <t>KC145</t>
  </si>
  <si>
    <t>KC106</t>
  </si>
  <si>
    <t>KC106-1</t>
  </si>
  <si>
    <t>FX210</t>
  </si>
  <si>
    <t>KC091</t>
  </si>
  <si>
    <t>KC092</t>
  </si>
  <si>
    <t>KC065</t>
  </si>
  <si>
    <t>KC097</t>
  </si>
  <si>
    <t>KC026</t>
  </si>
  <si>
    <t>KC057</t>
  </si>
  <si>
    <t>KC095</t>
  </si>
  <si>
    <t>KC076</t>
  </si>
  <si>
    <t>KC033</t>
  </si>
  <si>
    <t>KC090</t>
  </si>
  <si>
    <t>KC096</t>
  </si>
  <si>
    <t>KC148</t>
  </si>
  <si>
    <t>KC053</t>
  </si>
  <si>
    <t>KC105</t>
  </si>
  <si>
    <t>KC055</t>
  </si>
  <si>
    <t>KC025</t>
  </si>
  <si>
    <t>KC027</t>
  </si>
  <si>
    <t>KC049</t>
  </si>
  <si>
    <t>KC023</t>
  </si>
  <si>
    <t>KC052</t>
  </si>
  <si>
    <t>KC050</t>
  </si>
  <si>
    <t>KC074</t>
  </si>
  <si>
    <t>KC051</t>
  </si>
  <si>
    <t>KC037</t>
  </si>
  <si>
    <t>KC126</t>
  </si>
  <si>
    <t>CN134</t>
  </si>
  <si>
    <t>CN104</t>
  </si>
  <si>
    <t>CN109</t>
  </si>
  <si>
    <t>CN160</t>
  </si>
  <si>
    <t>CN140</t>
  </si>
  <si>
    <t>CN138</t>
  </si>
  <si>
    <t>CN100</t>
  </si>
  <si>
    <t>CE008</t>
  </si>
  <si>
    <t>CN135</t>
  </si>
  <si>
    <t>CN108</t>
  </si>
  <si>
    <t>CN099</t>
  </si>
  <si>
    <t>CE007</t>
  </si>
  <si>
    <t>CE006</t>
  </si>
  <si>
    <t>FX251</t>
  </si>
  <si>
    <t>FX250</t>
  </si>
  <si>
    <t>FX249</t>
  </si>
  <si>
    <t>FX252</t>
  </si>
  <si>
    <t>FX134</t>
  </si>
  <si>
    <t>FX105</t>
  </si>
  <si>
    <t>FX106</t>
  </si>
  <si>
    <t>FX259</t>
  </si>
  <si>
    <t>FX246</t>
  </si>
  <si>
    <t>FX245</t>
  </si>
  <si>
    <t>FX290</t>
  </si>
  <si>
    <t>FX291</t>
  </si>
  <si>
    <t>FX239</t>
  </si>
  <si>
    <t>FX226</t>
  </si>
  <si>
    <t>FX255</t>
  </si>
  <si>
    <t>FX283</t>
  </si>
  <si>
    <t>FX130</t>
  </si>
  <si>
    <t>FX222</t>
  </si>
  <si>
    <t>FX235</t>
  </si>
  <si>
    <t>FX155</t>
  </si>
  <si>
    <t>FX389</t>
  </si>
  <si>
    <t>FX156</t>
  </si>
  <si>
    <t>FX157</t>
  </si>
  <si>
    <t>FX388</t>
  </si>
  <si>
    <t>FX389-1CA</t>
  </si>
  <si>
    <t>FX158</t>
  </si>
  <si>
    <t>FX159</t>
  </si>
  <si>
    <t>FX389-2CA</t>
  </si>
  <si>
    <t>FX160</t>
  </si>
  <si>
    <t>FX390</t>
  </si>
  <si>
    <t>FX017</t>
  </si>
  <si>
    <t>FX233</t>
  </si>
  <si>
    <t>FX234</t>
  </si>
  <si>
    <t>FX292</t>
  </si>
  <si>
    <t>FX279</t>
  </si>
  <si>
    <t>FX273</t>
  </si>
  <si>
    <t>FX282</t>
  </si>
  <si>
    <t>FX276</t>
  </si>
  <si>
    <t>FX270</t>
  </si>
  <si>
    <t>FX271</t>
  </si>
  <si>
    <t>FX272</t>
  </si>
  <si>
    <t>FX280</t>
  </si>
  <si>
    <t>FX281</t>
  </si>
  <si>
    <t>FX275</t>
  </si>
  <si>
    <t>FX278</t>
  </si>
  <si>
    <t>FX274</t>
  </si>
  <si>
    <t>FX277</t>
  </si>
  <si>
    <t>FX139</t>
  </si>
  <si>
    <t>FX049</t>
  </si>
  <si>
    <t>FX393</t>
  </si>
  <si>
    <t>FX394</t>
  </si>
  <si>
    <t>FX244</t>
  </si>
  <si>
    <t>FX162</t>
  </si>
  <si>
    <t>FX163</t>
  </si>
  <si>
    <t>FX167</t>
  </si>
  <si>
    <t>FX168</t>
  </si>
  <si>
    <t>FX019</t>
  </si>
  <si>
    <t>FX135</t>
  </si>
  <si>
    <t>FX131</t>
  </si>
  <si>
    <t>FX018</t>
  </si>
  <si>
    <t>FX254</t>
  </si>
  <si>
    <t>FX008</t>
  </si>
  <si>
    <t>FX312</t>
  </si>
  <si>
    <t>FX257</t>
  </si>
  <si>
    <t>FX258</t>
  </si>
  <si>
    <t>FX224</t>
  </si>
  <si>
    <t>FX225</t>
  </si>
  <si>
    <t>FX223</t>
  </si>
  <si>
    <t>FX236</t>
  </si>
  <si>
    <t>FX238</t>
  </si>
  <si>
    <t>FX242</t>
  </si>
  <si>
    <t>FX284</t>
  </si>
  <si>
    <t>FX285</t>
  </si>
  <si>
    <t>FX286</t>
  </si>
  <si>
    <t>FX287</t>
  </si>
  <si>
    <t>FX288</t>
  </si>
  <si>
    <t>FX289</t>
  </si>
  <si>
    <t>FX229</t>
  </si>
  <si>
    <t>FX240</t>
  </si>
  <si>
    <t>FX197</t>
  </si>
  <si>
    <t>FX241</t>
  </si>
  <si>
    <t>FX207</t>
  </si>
  <si>
    <t>FX183</t>
  </si>
  <si>
    <t>FX183-1</t>
  </si>
  <si>
    <t>FX184</t>
  </si>
  <si>
    <t>FX184-1</t>
  </si>
  <si>
    <t>FX237</t>
  </si>
  <si>
    <t>FX166</t>
  </si>
  <si>
    <t>FX243</t>
  </si>
  <si>
    <t>FX253</t>
  </si>
  <si>
    <t>FX129</t>
  </si>
  <si>
    <t>CN139</t>
  </si>
  <si>
    <t>FX132</t>
  </si>
  <si>
    <t>FX133</t>
  </si>
  <si>
    <t>FX256</t>
  </si>
  <si>
    <t>TP039</t>
  </si>
  <si>
    <t>TP059</t>
  </si>
  <si>
    <t>FX061</t>
  </si>
  <si>
    <t>FX115-1</t>
  </si>
  <si>
    <t>FX061-2</t>
  </si>
  <si>
    <t>FX115</t>
  </si>
  <si>
    <t>FX061-1</t>
  </si>
  <si>
    <t>FX047</t>
  </si>
  <si>
    <t>FX138-1</t>
  </si>
  <si>
    <t>FX319</t>
  </si>
  <si>
    <t>FX107-1</t>
  </si>
  <si>
    <t>FX107</t>
  </si>
  <si>
    <t>FX319-1I</t>
  </si>
  <si>
    <t>FX119-1</t>
  </si>
  <si>
    <t>FX119</t>
  </si>
  <si>
    <t>HL004</t>
  </si>
  <si>
    <t>HL010</t>
  </si>
  <si>
    <t>HL011</t>
  </si>
  <si>
    <t>HL012</t>
  </si>
  <si>
    <t>HL013</t>
  </si>
  <si>
    <t>HL017</t>
  </si>
  <si>
    <t>HL021</t>
  </si>
  <si>
    <t>HL025</t>
  </si>
  <si>
    <t>HL026</t>
  </si>
  <si>
    <t>CN165</t>
  </si>
  <si>
    <t>CN166</t>
  </si>
  <si>
    <t>FX213</t>
  </si>
  <si>
    <t>FX352</t>
  </si>
  <si>
    <t>FX352-1</t>
  </si>
  <si>
    <t>FX378</t>
  </si>
  <si>
    <t>FX378-1</t>
  </si>
  <si>
    <t>FX020</t>
  </si>
  <si>
    <t>FX137</t>
  </si>
  <si>
    <t>FX137-1</t>
  </si>
  <si>
    <t>FX138</t>
  </si>
  <si>
    <t>FX353</t>
  </si>
  <si>
    <t>FX353-1</t>
  </si>
  <si>
    <t>FX366</t>
  </si>
  <si>
    <t>FX319-C</t>
  </si>
  <si>
    <t>FX366-1</t>
  </si>
  <si>
    <t>FX361</t>
  </si>
  <si>
    <t>FX361-1</t>
  </si>
  <si>
    <t>FX365</t>
  </si>
  <si>
    <t>FX319-1IC</t>
  </si>
  <si>
    <t>FX365-1</t>
  </si>
  <si>
    <t>FX126</t>
  </si>
  <si>
    <t>FX113</t>
  </si>
  <si>
    <t>FX192</t>
  </si>
  <si>
    <t>FX192-1</t>
  </si>
  <si>
    <t>FX294</t>
  </si>
  <si>
    <t>FX370</t>
  </si>
  <si>
    <t>FX370-1</t>
  </si>
  <si>
    <t>FX321-1</t>
  </si>
  <si>
    <t>FX321</t>
  </si>
  <si>
    <t>FX321-3</t>
  </si>
  <si>
    <t>FX321-2</t>
  </si>
  <si>
    <t>FX330</t>
  </si>
  <si>
    <t>FX330-1</t>
  </si>
  <si>
    <t>CN121</t>
  </si>
  <si>
    <t>FX102</t>
  </si>
  <si>
    <t>FX094</t>
  </si>
  <si>
    <t>FX067</t>
  </si>
  <si>
    <t>FX068</t>
  </si>
  <si>
    <t>KC119</t>
  </si>
  <si>
    <t>FX349</t>
  </si>
  <si>
    <t>FX349-1</t>
  </si>
  <si>
    <t>KC117</t>
  </si>
  <si>
    <t>KC118</t>
  </si>
  <si>
    <t>FX097</t>
  </si>
  <si>
    <t>CN145</t>
  </si>
  <si>
    <t>FX048</t>
  </si>
  <si>
    <t>KC010</t>
  </si>
  <si>
    <t>FX123</t>
  </si>
  <si>
    <t>FX066</t>
  </si>
  <si>
    <t>KC007</t>
  </si>
  <si>
    <t>KC008</t>
  </si>
  <si>
    <t>KC014</t>
  </si>
  <si>
    <t>FX375</t>
  </si>
  <si>
    <t>FX318</t>
  </si>
  <si>
    <t>CN142</t>
  </si>
  <si>
    <t>CN168</t>
  </si>
  <si>
    <t>FX092</t>
  </si>
  <si>
    <t>FX093</t>
  </si>
  <si>
    <t>FX302</t>
  </si>
  <si>
    <t>FX202</t>
  </si>
  <si>
    <t>FX202-1</t>
  </si>
  <si>
    <t>FX322</t>
  </si>
  <si>
    <t>FX322-1</t>
  </si>
  <si>
    <t>FX088</t>
  </si>
  <si>
    <t>FX355-1</t>
  </si>
  <si>
    <t>FX355</t>
  </si>
  <si>
    <t>FX339</t>
  </si>
  <si>
    <t>FX340</t>
  </si>
  <si>
    <t>RC016</t>
  </si>
  <si>
    <t>RC017</t>
  </si>
  <si>
    <t>TT039</t>
  </si>
  <si>
    <t>KC004</t>
  </si>
  <si>
    <t>RC015</t>
  </si>
  <si>
    <t>FX382-1</t>
  </si>
  <si>
    <t>FX114-1</t>
  </si>
  <si>
    <t>FX114</t>
  </si>
  <si>
    <t>FX035</t>
  </si>
  <si>
    <t>FX074</t>
  </si>
  <si>
    <t>FX073</t>
  </si>
  <si>
    <t>FX087</t>
  </si>
  <si>
    <t>FX059</t>
  </si>
  <si>
    <t>FX368</t>
  </si>
  <si>
    <t>FX369</t>
  </si>
  <si>
    <t>FX369-1</t>
  </si>
  <si>
    <t>FX382</t>
  </si>
  <si>
    <t>FX385</t>
  </si>
  <si>
    <t>FX385-1</t>
  </si>
  <si>
    <t>FX373</t>
  </si>
  <si>
    <t>FX373-1</t>
  </si>
  <si>
    <t>FX297</t>
  </si>
  <si>
    <t>FX371-1</t>
  </si>
  <si>
    <t>FX372</t>
  </si>
  <si>
    <t>FX372-1</t>
  </si>
  <si>
    <t>FX314</t>
  </si>
  <si>
    <t>FX209</t>
  </si>
  <si>
    <t>FX220</t>
  </si>
  <si>
    <t>FX317</t>
  </si>
  <si>
    <t>CN111</t>
  </si>
  <si>
    <t>FX191</t>
  </si>
  <si>
    <t>FX191-1I</t>
  </si>
  <si>
    <t>FX191-3I</t>
  </si>
  <si>
    <t>FX191-4I</t>
  </si>
  <si>
    <t>FX191-2I</t>
  </si>
  <si>
    <t>FX040-1</t>
  </si>
  <si>
    <t>FX040</t>
  </si>
  <si>
    <t>FX040-3</t>
  </si>
  <si>
    <t>FX040-6</t>
  </si>
  <si>
    <t>FX040-2</t>
  </si>
  <si>
    <t>FX039</t>
  </si>
  <si>
    <t>FX039-1</t>
  </si>
  <si>
    <t>FX039-3</t>
  </si>
  <si>
    <t>FX039-6</t>
  </si>
  <si>
    <t>FX039-2</t>
  </si>
  <si>
    <t>FX025-1</t>
  </si>
  <si>
    <t>FX090</t>
  </si>
  <si>
    <t>FX091</t>
  </si>
  <si>
    <t>FX083</t>
  </si>
  <si>
    <t>FX325</t>
  </si>
  <si>
    <t>FX325-1</t>
  </si>
  <si>
    <t>RC012</t>
  </si>
  <si>
    <t>FX025</t>
  </si>
  <si>
    <t>TT042</t>
  </si>
  <si>
    <t>FX334</t>
  </si>
  <si>
    <t>FX099-1</t>
  </si>
  <si>
    <t>FX099</t>
  </si>
  <si>
    <t>FX098-1</t>
  </si>
  <si>
    <t>FX022-1</t>
  </si>
  <si>
    <t>FX098</t>
  </si>
  <si>
    <t>FX022</t>
  </si>
  <si>
    <t>FX100-1</t>
  </si>
  <si>
    <t>FX100</t>
  </si>
  <si>
    <t>FX307</t>
  </si>
  <si>
    <t>HL023</t>
  </si>
  <si>
    <t>FX303</t>
  </si>
  <si>
    <t>FX304</t>
  </si>
  <si>
    <t>FX360</t>
  </si>
  <si>
    <t>FX360-1</t>
  </si>
  <si>
    <t>FX364</t>
  </si>
  <si>
    <t>FX364-1</t>
  </si>
  <si>
    <t>FX354</t>
  </si>
  <si>
    <t>FX354-1</t>
  </si>
  <si>
    <t>FX200-1</t>
  </si>
  <si>
    <t>FX200</t>
  </si>
  <si>
    <t>FX201-1</t>
  </si>
  <si>
    <t>FX201</t>
  </si>
  <si>
    <t>BR012</t>
  </si>
  <si>
    <t>CN069</t>
  </si>
  <si>
    <t>CN086</t>
  </si>
  <si>
    <t>CN098</t>
  </si>
  <si>
    <t>CN077</t>
  </si>
  <si>
    <t>CN085</t>
  </si>
  <si>
    <t>CN080</t>
  </si>
  <si>
    <t>CN081</t>
  </si>
  <si>
    <t>CN151</t>
  </si>
  <si>
    <t>CN082</t>
  </si>
  <si>
    <t>CN083</t>
  </si>
  <si>
    <t>CN084</t>
  </si>
  <si>
    <t>CN113</t>
  </si>
  <si>
    <t>FX320</t>
  </si>
  <si>
    <t>FX386</t>
  </si>
  <si>
    <t>FX386-1</t>
  </si>
  <si>
    <t>RC008</t>
  </si>
  <si>
    <t>RC019-1</t>
  </si>
  <si>
    <t>RC008-1</t>
  </si>
  <si>
    <t>RC005-1</t>
  </si>
  <si>
    <t>ST011</t>
  </si>
  <si>
    <t>CN070</t>
  </si>
  <si>
    <t>CN071</t>
  </si>
  <si>
    <t>TS001</t>
  </si>
  <si>
    <t>TS007</t>
  </si>
  <si>
    <t>CN072</t>
  </si>
  <si>
    <t>CN058</t>
  </si>
  <si>
    <t>CN073</t>
  </si>
  <si>
    <t>CN034</t>
  </si>
  <si>
    <t>CN087</t>
  </si>
  <si>
    <t>CN088</t>
  </si>
  <si>
    <t>CN154</t>
  </si>
  <si>
    <t>CN103</t>
  </si>
  <si>
    <t>CN097</t>
  </si>
  <si>
    <t>YU002</t>
  </si>
  <si>
    <t>YU003</t>
  </si>
  <si>
    <t>YU004</t>
  </si>
  <si>
    <t>YU005</t>
  </si>
  <si>
    <t>YU006</t>
  </si>
  <si>
    <t>YU007</t>
  </si>
  <si>
    <t>YU007-1</t>
  </si>
  <si>
    <t>YU008</t>
  </si>
  <si>
    <t>YU009</t>
  </si>
  <si>
    <t>YU010</t>
  </si>
  <si>
    <t>YU011</t>
  </si>
  <si>
    <t>YU012</t>
  </si>
  <si>
    <t>YU013</t>
  </si>
  <si>
    <t>YU016</t>
  </si>
  <si>
    <t>YU014</t>
  </si>
  <si>
    <t>YU017</t>
  </si>
  <si>
    <t>YU018</t>
  </si>
  <si>
    <t>YU015</t>
  </si>
  <si>
    <t>TP065</t>
  </si>
  <si>
    <t>TP068</t>
  </si>
  <si>
    <t>TP074</t>
  </si>
  <si>
    <t>TP077</t>
  </si>
  <si>
    <t>TP078</t>
  </si>
  <si>
    <t>TP082</t>
  </si>
  <si>
    <t>TP082-1</t>
  </si>
  <si>
    <t>TP076</t>
  </si>
  <si>
    <t>TP079</t>
  </si>
  <si>
    <t>TP080</t>
  </si>
  <si>
    <t>TP081</t>
  </si>
  <si>
    <t>TP085</t>
  </si>
  <si>
    <t>TP086</t>
  </si>
  <si>
    <t>TP087</t>
  </si>
  <si>
    <t>TP086-1</t>
  </si>
  <si>
    <t>TP087-1</t>
  </si>
  <si>
    <t>TP086-2</t>
  </si>
  <si>
    <t>TP087-2</t>
  </si>
  <si>
    <t>TP017-10</t>
  </si>
  <si>
    <t>TT030</t>
  </si>
  <si>
    <t>TT020</t>
  </si>
  <si>
    <t>RC019</t>
  </si>
  <si>
    <t>CN105</t>
  </si>
  <si>
    <t>RC024</t>
  </si>
  <si>
    <t>RC011</t>
  </si>
  <si>
    <t>TT075</t>
  </si>
  <si>
    <t>TT005</t>
  </si>
  <si>
    <t>BR013</t>
  </si>
  <si>
    <t>TT043</t>
  </si>
  <si>
    <t>TT070</t>
  </si>
  <si>
    <t>TT068</t>
  </si>
  <si>
    <t>KM007</t>
  </si>
  <si>
    <t>KM008</t>
  </si>
  <si>
    <t>KM009</t>
  </si>
  <si>
    <t>CN057</t>
  </si>
  <si>
    <t>BR015</t>
  </si>
  <si>
    <t>BR009</t>
  </si>
  <si>
    <t>BR007</t>
  </si>
  <si>
    <t>TP089</t>
  </si>
  <si>
    <t>TP090</t>
  </si>
  <si>
    <t>TP091</t>
  </si>
  <si>
    <t>TP092</t>
  </si>
  <si>
    <t>TP093</t>
  </si>
  <si>
    <t>TP094</t>
  </si>
  <si>
    <t>CN059</t>
  </si>
  <si>
    <t>CN060</t>
  </si>
  <si>
    <t>CN094</t>
  </si>
  <si>
    <t>TS006</t>
  </si>
  <si>
    <t>TS006-1</t>
  </si>
  <si>
    <t>TP095</t>
  </si>
  <si>
    <t>HL001</t>
  </si>
  <si>
    <t>FX214</t>
  </si>
  <si>
    <t>ST014</t>
  </si>
  <si>
    <t>ST015</t>
  </si>
  <si>
    <t>FX110-1</t>
  </si>
  <si>
    <t>FX110</t>
  </si>
  <si>
    <t>KC013</t>
  </si>
  <si>
    <t>FX377</t>
  </si>
  <si>
    <t>FX377-C</t>
  </si>
  <si>
    <t>FX377-1I</t>
  </si>
  <si>
    <t>FX377-1IC</t>
  </si>
  <si>
    <t>FX358</t>
  </si>
  <si>
    <t>FX358-1</t>
  </si>
  <si>
    <t>TP096</t>
  </si>
  <si>
    <t>TP097</t>
  </si>
  <si>
    <t>TT022</t>
  </si>
  <si>
    <t>TT021</t>
  </si>
  <si>
    <t>CN106</t>
  </si>
  <si>
    <t>TP098</t>
  </si>
  <si>
    <t>TP099</t>
  </si>
  <si>
    <t>TP100</t>
  </si>
  <si>
    <t>TP088</t>
  </si>
  <si>
    <t>SH002</t>
  </si>
  <si>
    <t>SH001</t>
  </si>
  <si>
    <t>SD017</t>
  </si>
  <si>
    <t>SD015</t>
  </si>
  <si>
    <t>SD013</t>
  </si>
  <si>
    <t>SD008</t>
  </si>
  <si>
    <t>SD009</t>
  </si>
  <si>
    <t>SD018</t>
  </si>
  <si>
    <t>SD016</t>
  </si>
  <si>
    <t>SD011</t>
  </si>
  <si>
    <t>SD003</t>
  </si>
  <si>
    <t>SD005</t>
  </si>
  <si>
    <t>SD007</t>
  </si>
  <si>
    <t>SD010</t>
  </si>
  <si>
    <t>SD012</t>
  </si>
  <si>
    <t>SD002</t>
  </si>
  <si>
    <t>SD004</t>
  </si>
  <si>
    <t>SD006</t>
  </si>
  <si>
    <t>SD001</t>
  </si>
  <si>
    <t>SD014</t>
  </si>
  <si>
    <t>RC025</t>
  </si>
  <si>
    <t>RC005</t>
  </si>
  <si>
    <t>ST002</t>
  </si>
  <si>
    <t>ST002-1</t>
  </si>
  <si>
    <t>ST002-2</t>
  </si>
  <si>
    <t>ST002-3</t>
  </si>
  <si>
    <t>ST003</t>
  </si>
  <si>
    <t>ST003-1</t>
  </si>
  <si>
    <t>ST004</t>
  </si>
  <si>
    <t>ST005</t>
  </si>
  <si>
    <t>ST006</t>
  </si>
  <si>
    <t>ST006-1</t>
  </si>
  <si>
    <t>ST007</t>
  </si>
  <si>
    <t>ST007-1</t>
  </si>
  <si>
    <t>KC009</t>
  </si>
  <si>
    <t>KC002</t>
  </si>
  <si>
    <t>RC001</t>
  </si>
  <si>
    <t>FX015</t>
  </si>
  <si>
    <t>KC123</t>
  </si>
  <si>
    <t>KC124</t>
  </si>
  <si>
    <t>FX376</t>
  </si>
  <si>
    <t>FX376-1</t>
  </si>
  <si>
    <t>FX326</t>
  </si>
  <si>
    <t>FX326-1</t>
  </si>
  <si>
    <t>FX327</t>
  </si>
  <si>
    <t>FX379</t>
  </si>
  <si>
    <t>FX379-1</t>
  </si>
  <si>
    <t>CN064</t>
  </si>
  <si>
    <t>CN065</t>
  </si>
  <si>
    <t>YK001</t>
  </si>
  <si>
    <t>TT033</t>
  </si>
  <si>
    <t>TP017-11</t>
  </si>
  <si>
    <t>TP101</t>
  </si>
  <si>
    <t>HL024</t>
  </si>
  <si>
    <t>HL022</t>
  </si>
  <si>
    <t>HL018</t>
  </si>
  <si>
    <t>HL016</t>
  </si>
  <si>
    <t>HL020</t>
  </si>
  <si>
    <t>HL014</t>
  </si>
  <si>
    <t>HL005</t>
  </si>
  <si>
    <t>HL006</t>
  </si>
  <si>
    <t>HL008</t>
  </si>
  <si>
    <t>HL009</t>
  </si>
  <si>
    <t>HL002</t>
  </si>
  <si>
    <t>FX076</t>
  </si>
  <si>
    <t>FX077</t>
  </si>
  <si>
    <t>FX004</t>
  </si>
  <si>
    <t>FX003</t>
  </si>
  <si>
    <t>FX165</t>
  </si>
  <si>
    <t>FX165-1</t>
  </si>
  <si>
    <t>CN125</t>
  </si>
  <si>
    <t>CN126</t>
  </si>
  <si>
    <t>FX164</t>
  </si>
  <si>
    <t>FX164-1</t>
  </si>
  <si>
    <t>FX178</t>
  </si>
  <si>
    <t>FX217</t>
  </si>
  <si>
    <t>TT040</t>
  </si>
  <si>
    <t>CN049</t>
  </si>
  <si>
    <t>CN050</t>
  </si>
  <si>
    <t>CN051</t>
  </si>
  <si>
    <t>CN028</t>
  </si>
  <si>
    <t>CN114</t>
  </si>
  <si>
    <t>CN115</t>
  </si>
  <si>
    <t>CN116</t>
  </si>
  <si>
    <t>CN095</t>
  </si>
  <si>
    <t>TT069</t>
  </si>
  <si>
    <t>FX086</t>
  </si>
  <si>
    <t>KC146</t>
  </si>
  <si>
    <t>KC150</t>
  </si>
  <si>
    <t>KC059</t>
  </si>
  <si>
    <t>KC058</t>
  </si>
  <si>
    <t>HL003</t>
  </si>
  <si>
    <t>HL007</t>
  </si>
  <si>
    <t>HL015</t>
  </si>
  <si>
    <t>HL019</t>
  </si>
  <si>
    <t>FX324</t>
  </si>
  <si>
    <t>FX185-1</t>
  </si>
  <si>
    <t>FX185</t>
  </si>
  <si>
    <t>CN122</t>
  </si>
  <si>
    <t>FX342</t>
  </si>
  <si>
    <t>TT065</t>
  </si>
  <si>
    <t>KC005</t>
  </si>
  <si>
    <t>KC020</t>
  </si>
  <si>
    <t>FX023</t>
  </si>
  <si>
    <t>FX363</t>
  </si>
  <si>
    <t>FX347</t>
  </si>
  <si>
    <t>FX347-1</t>
  </si>
  <si>
    <t>CN118</t>
  </si>
  <si>
    <t>BR026</t>
  </si>
  <si>
    <t>TT004</t>
  </si>
  <si>
    <t>CN035</t>
  </si>
  <si>
    <t>CN036</t>
  </si>
  <si>
    <t>CN019</t>
  </si>
  <si>
    <t>CN022</t>
  </si>
  <si>
    <t>KC001</t>
  </si>
  <si>
    <t>CE002</t>
  </si>
  <si>
    <t>FX173</t>
  </si>
  <si>
    <t>TT049</t>
  </si>
  <si>
    <t>TT074</t>
  </si>
  <si>
    <t>TT072</t>
  </si>
  <si>
    <t>TS002</t>
  </si>
  <si>
    <t>YU019</t>
  </si>
  <si>
    <t>FX009</t>
  </si>
  <si>
    <t>TT002</t>
  </si>
  <si>
    <t>TT003</t>
  </si>
  <si>
    <t>CE005</t>
  </si>
  <si>
    <t>FX328</t>
  </si>
  <si>
    <t>FX328-1</t>
  </si>
  <si>
    <t>FX329</t>
  </si>
  <si>
    <t>FX329-1</t>
  </si>
  <si>
    <t>TP102</t>
  </si>
  <si>
    <t>TP103</t>
  </si>
  <si>
    <t>TP104</t>
  </si>
  <si>
    <t>TP093-S1</t>
  </si>
  <si>
    <t>FX187-1</t>
  </si>
  <si>
    <t>FX187</t>
  </si>
  <si>
    <t>RC020</t>
  </si>
  <si>
    <t>CN066</t>
  </si>
  <si>
    <t>RC018</t>
  </si>
  <si>
    <t>CN147</t>
  </si>
  <si>
    <t>TT027</t>
  </si>
  <si>
    <t>BR019</t>
  </si>
  <si>
    <t>KM013</t>
  </si>
  <si>
    <t>TP093-S2</t>
  </si>
  <si>
    <t>TP093-S3</t>
  </si>
  <si>
    <t>TP094-S1</t>
  </si>
  <si>
    <t>YU020</t>
  </si>
  <si>
    <t>YU021</t>
  </si>
  <si>
    <t>CE004</t>
  </si>
  <si>
    <t>FX124</t>
  </si>
  <si>
    <t>FX111</t>
  </si>
  <si>
    <t>FX038</t>
  </si>
  <si>
    <t>FX038-2</t>
  </si>
  <si>
    <t>FX038-1</t>
  </si>
  <si>
    <t>TP094-S2</t>
  </si>
  <si>
    <t>TP094-S3</t>
  </si>
  <si>
    <t>TP094-S4</t>
  </si>
  <si>
    <t>TP098-S1</t>
  </si>
  <si>
    <t>TT008</t>
  </si>
  <si>
    <t>HT029</t>
  </si>
  <si>
    <t>TT010</t>
  </si>
  <si>
    <t>TT009</t>
  </si>
  <si>
    <t>TT056</t>
  </si>
  <si>
    <t>CN093</t>
  </si>
  <si>
    <t>TP098-S2</t>
  </si>
  <si>
    <t>TP098-S3</t>
  </si>
  <si>
    <t>TP098-S4</t>
  </si>
  <si>
    <t>FX141</t>
  </si>
  <si>
    <t>TT006</t>
  </si>
  <si>
    <t>CN136</t>
  </si>
  <si>
    <t>CN137</t>
  </si>
  <si>
    <t>FX293</t>
  </si>
  <si>
    <t>BF05012602</t>
  </si>
  <si>
    <t>BF05012702</t>
  </si>
  <si>
    <t>BF05012802</t>
  </si>
  <si>
    <t>BF05008701</t>
  </si>
  <si>
    <t>BF05013202</t>
  </si>
  <si>
    <t>BF05008912</t>
  </si>
  <si>
    <t>BK03006101</t>
  </si>
  <si>
    <t>BK03006201</t>
  </si>
  <si>
    <t>BK03002402</t>
  </si>
  <si>
    <t>BF05008401</t>
  </si>
  <si>
    <t>BF05011701</t>
  </si>
  <si>
    <t>BK03000602</t>
  </si>
  <si>
    <t>BK03003101</t>
  </si>
  <si>
    <t>BK03004101</t>
  </si>
  <si>
    <t>BF05009601</t>
  </si>
  <si>
    <t>BF05011832</t>
  </si>
  <si>
    <t>BF05007122</t>
  </si>
  <si>
    <t>BK03002801</t>
  </si>
  <si>
    <t>BK03003901</t>
  </si>
  <si>
    <t>BF05011201</t>
  </si>
  <si>
    <t>BF05011301</t>
  </si>
  <si>
    <t>BK03002901</t>
  </si>
  <si>
    <t>BK03004001</t>
  </si>
  <si>
    <t>BK03003601</t>
  </si>
  <si>
    <t>BK03003501</t>
  </si>
  <si>
    <t>BK03004801</t>
  </si>
  <si>
    <t>BF05008601</t>
  </si>
  <si>
    <t>BF05008501</t>
  </si>
  <si>
    <t>BF05008302</t>
  </si>
  <si>
    <t>BK03003201</t>
  </si>
  <si>
    <t>BK03005601</t>
  </si>
  <si>
    <t>BK03003001</t>
  </si>
  <si>
    <t>BK03010401</t>
  </si>
  <si>
    <t>BK03009801</t>
  </si>
  <si>
    <t>BK03003411</t>
  </si>
  <si>
    <t>BK03005401</t>
  </si>
  <si>
    <t>BK03003801</t>
  </si>
  <si>
    <t>BK03004213</t>
  </si>
  <si>
    <t>BK03010001</t>
  </si>
  <si>
    <t>BK03002611</t>
  </si>
  <si>
    <t>BK03005711</t>
  </si>
  <si>
    <t>BK03003301</t>
  </si>
  <si>
    <t>BK03009601</t>
  </si>
  <si>
    <t>BK03005301</t>
  </si>
  <si>
    <t>BK03005501</t>
  </si>
  <si>
    <t>BK03002502</t>
  </si>
  <si>
    <t>BK03002711</t>
  </si>
  <si>
    <t>BK03004901</t>
  </si>
  <si>
    <t>BK03002301</t>
  </si>
  <si>
    <t>BK03005211</t>
  </si>
  <si>
    <t>BK03005001</t>
  </si>
  <si>
    <t>BK03005101</t>
  </si>
  <si>
    <t>BK03003711</t>
  </si>
  <si>
    <t>BF05011401</t>
  </si>
  <si>
    <t>BF05011502</t>
  </si>
  <si>
    <t>BF05011601</t>
  </si>
  <si>
    <t>BF05012901</t>
  </si>
  <si>
    <t>BF05010401</t>
  </si>
  <si>
    <t>BF05013601</t>
  </si>
  <si>
    <t>BF05009901</t>
  </si>
  <si>
    <t>BF05010001</t>
  </si>
  <si>
    <t>BF05009501</t>
  </si>
  <si>
    <t>BF05009401</t>
  </si>
  <si>
    <t>BF05004051</t>
  </si>
  <si>
    <t>BF05004041</t>
  </si>
  <si>
    <t>BF05003951</t>
  </si>
  <si>
    <t>BF02003961</t>
  </si>
  <si>
    <t>BF05003941</t>
  </si>
  <si>
    <t>BF05008801</t>
  </si>
  <si>
    <t>BF05010802</t>
  </si>
  <si>
    <t>HYU1000701</t>
  </si>
  <si>
    <t>HYU1000711</t>
  </si>
  <si>
    <t>HYU1000801</t>
  </si>
  <si>
    <t>HYU1000901</t>
  </si>
  <si>
    <t>HYU1001101</t>
  </si>
  <si>
    <t>HYU1001201</t>
  </si>
  <si>
    <t>HYU1001401</t>
  </si>
  <si>
    <t>HYU1001501</t>
  </si>
  <si>
    <t>HYU1001601</t>
  </si>
  <si>
    <t>HYU1002911</t>
  </si>
  <si>
    <t>AP01018800</t>
  </si>
  <si>
    <t>MS05001301</t>
  </si>
  <si>
    <t>BF05008201</t>
  </si>
  <si>
    <t>BF05009301</t>
  </si>
  <si>
    <t>BK03005901</t>
  </si>
  <si>
    <t>BK03005801</t>
  </si>
  <si>
    <t>HYU1003041</t>
  </si>
  <si>
    <t>HYU1003051</t>
  </si>
  <si>
    <t>HYU1003061</t>
  </si>
  <si>
    <t>CAVITY</t>
  </si>
  <si>
    <t>FX413</t>
  </si>
  <si>
    <t>SLIDER</t>
  </si>
  <si>
    <t>FX414</t>
  </si>
  <si>
    <t>FX399</t>
  </si>
  <si>
    <t>FX409</t>
  </si>
  <si>
    <t>FX408</t>
  </si>
  <si>
    <t>FX403</t>
  </si>
  <si>
    <t>RZ003</t>
  </si>
  <si>
    <t>ST016</t>
  </si>
  <si>
    <t>FX417</t>
  </si>
  <si>
    <t>CORE</t>
  </si>
  <si>
    <t>FX415</t>
  </si>
  <si>
    <t>FX458</t>
  </si>
  <si>
    <t>FX411</t>
  </si>
  <si>
    <t>FX416</t>
  </si>
  <si>
    <t>FX418</t>
  </si>
  <si>
    <t>PART NO</t>
  </si>
  <si>
    <t>FX481</t>
  </si>
  <si>
    <t>FX490</t>
  </si>
  <si>
    <t>FX412</t>
  </si>
  <si>
    <t>FX406</t>
  </si>
  <si>
    <t>FX401</t>
  </si>
  <si>
    <t>FX405</t>
  </si>
  <si>
    <t>MOULDS LIST IN TPVN</t>
  </si>
  <si>
    <t xml:space="preserve">Danh sách khuôn đã trả </t>
  </si>
  <si>
    <t xml:space="preserve">Dept: Tooling                                              </t>
  </si>
  <si>
    <t>\\172.23.20.215\Tooling\03. MP MOLD GROUP\MS LAN\DANH SACH KHUON TRA</t>
  </si>
  <si>
    <t>Updated: 11/08/2016</t>
  </si>
  <si>
    <t>NO</t>
  </si>
  <si>
    <t>INDEX MOLD (OLD)</t>
  </si>
  <si>
    <t>INDEX MOLD (NEW)</t>
  </si>
  <si>
    <t>PART NAME</t>
  </si>
  <si>
    <t>SLIDER/CYLINDER/MOTOR</t>
  </si>
  <si>
    <t>MOLD RUNNING MP</t>
  </si>
  <si>
    <t>MOLD RUNNING MT</t>
  </si>
  <si>
    <t>MOLD T.S</t>
  </si>
  <si>
    <t>UNUSE MOLD</t>
  </si>
  <si>
    <t>GRUARANTEE SHOTG</t>
  </si>
  <si>
    <t>MOLD MAKER</t>
  </si>
  <si>
    <t>MOLD SIZE
W*H*L</t>
  </si>
  <si>
    <t>HF90301</t>
  </si>
  <si>
    <t>Stopper Ring</t>
  </si>
  <si>
    <t>MP</t>
  </si>
  <si>
    <t>TPJK</t>
  </si>
  <si>
    <t>-</t>
  </si>
  <si>
    <t>HF90302</t>
  </si>
  <si>
    <t>HF90303</t>
  </si>
  <si>
    <t>Sleeve</t>
  </si>
  <si>
    <t>HF90082</t>
  </si>
  <si>
    <t>Over Flow Tube</t>
  </si>
  <si>
    <t>CYLINDER, SLIDER</t>
  </si>
  <si>
    <t>HF90084</t>
  </si>
  <si>
    <t>WL Indication Ring</t>
  </si>
  <si>
    <t>HF90298R</t>
  </si>
  <si>
    <t>Valve</t>
  </si>
  <si>
    <t>HF90299R-2</t>
  </si>
  <si>
    <t>Valve Lid</t>
  </si>
  <si>
    <t>HF90538-1</t>
  </si>
  <si>
    <t>Valve Body</t>
  </si>
  <si>
    <t>HF21010</t>
  </si>
  <si>
    <t>Nut</t>
  </si>
  <si>
    <t>MOTOR</t>
  </si>
  <si>
    <t>350*900*650</t>
  </si>
  <si>
    <t>HF90286</t>
  </si>
  <si>
    <t>Pressure Reducing Valve</t>
  </si>
  <si>
    <t>350*350*370</t>
  </si>
  <si>
    <t>HF90288</t>
  </si>
  <si>
    <t>Pressure Reducing Sheet</t>
  </si>
  <si>
    <t>200*240*250</t>
  </si>
  <si>
    <t>HF90295</t>
  </si>
  <si>
    <t>Cap</t>
  </si>
  <si>
    <t>HF90592R</t>
  </si>
  <si>
    <t>Diapharagm Supporter</t>
  </si>
  <si>
    <t>198*250*237</t>
  </si>
  <si>
    <t>HF1A004</t>
  </si>
  <si>
    <t>Tank</t>
  </si>
  <si>
    <t>Supplied by customer</t>
  </si>
  <si>
    <t>HF9A093</t>
  </si>
  <si>
    <t>Ball Tap Body</t>
  </si>
  <si>
    <t>450*360*500</t>
  </si>
  <si>
    <t>HF21016</t>
  </si>
  <si>
    <t>Nut 18</t>
  </si>
  <si>
    <t>250*650*230</t>
  </si>
  <si>
    <t>Bag Nut</t>
  </si>
  <si>
    <t>300*340*640</t>
  </si>
  <si>
    <t>HF90545</t>
  </si>
  <si>
    <t>Retfying Net</t>
  </si>
  <si>
    <t>TPK</t>
  </si>
  <si>
    <t>300*630*340</t>
  </si>
  <si>
    <t>HF9A090R</t>
  </si>
  <si>
    <t>Floating Ball</t>
  </si>
  <si>
    <t>400*500*370</t>
  </si>
  <si>
    <t>HF9A091</t>
  </si>
  <si>
    <t>Float</t>
  </si>
  <si>
    <t>280*350*290</t>
  </si>
  <si>
    <t>Hook</t>
  </si>
  <si>
    <t>TPJ</t>
  </si>
  <si>
    <t>230*250*250</t>
  </si>
  <si>
    <t>Slector Valve</t>
  </si>
  <si>
    <t>280*250*250</t>
  </si>
  <si>
    <t>Lever</t>
  </si>
  <si>
    <t>250*350*360</t>
  </si>
  <si>
    <t>HF9A117R</t>
  </si>
  <si>
    <t>Packing</t>
  </si>
  <si>
    <t>250*250*230</t>
  </si>
  <si>
    <t xml:space="preserve">Fitting </t>
  </si>
  <si>
    <t>200*200*220</t>
  </si>
  <si>
    <t>Close Cover</t>
  </si>
  <si>
    <t>450*550*500</t>
  </si>
  <si>
    <t>HF9A129</t>
  </si>
  <si>
    <t>Cover</t>
  </si>
  <si>
    <t>350*450*400</t>
  </si>
  <si>
    <t>HF9A251</t>
  </si>
  <si>
    <t>Spindle</t>
  </si>
  <si>
    <t>300*450*380</t>
  </si>
  <si>
    <t>Water Pipe</t>
  </si>
  <si>
    <t>SLIDER, MOTOR, CYLINDER</t>
  </si>
  <si>
    <t>400*1100*500</t>
  </si>
  <si>
    <t>97E 02</t>
  </si>
  <si>
    <t>Shower Head Body</t>
  </si>
  <si>
    <t>700*950*600</t>
  </si>
  <si>
    <t>97D 94</t>
  </si>
  <si>
    <t>Orifice Shaft</t>
  </si>
  <si>
    <t>320*500*290</t>
  </si>
  <si>
    <t>97D 95</t>
  </si>
  <si>
    <t>Spread Plate Packing</t>
  </si>
  <si>
    <t>300*400*360</t>
  </si>
  <si>
    <t>97D 96</t>
  </si>
  <si>
    <t>Shaft</t>
  </si>
  <si>
    <t>230*300*230</t>
  </si>
  <si>
    <t>97D 98</t>
  </si>
  <si>
    <t>300*350*280</t>
  </si>
  <si>
    <t>97D 99</t>
  </si>
  <si>
    <t>Connecter</t>
  </si>
  <si>
    <t>MOTOR, SLIDER</t>
  </si>
  <si>
    <t>300*900*400</t>
  </si>
  <si>
    <t>97E 01</t>
  </si>
  <si>
    <t>Spray Face</t>
  </si>
  <si>
    <t>350*900*400</t>
  </si>
  <si>
    <t>HF90283</t>
  </si>
  <si>
    <t>450*1350*380</t>
  </si>
  <si>
    <t>HF9A535</t>
  </si>
  <si>
    <t>Pindle Guide</t>
  </si>
  <si>
    <t>450*450*570</t>
  </si>
  <si>
    <t>HF9A594</t>
  </si>
  <si>
    <t>Over Flow Pipe</t>
  </si>
  <si>
    <t>TPVN</t>
  </si>
  <si>
    <t>450*1650*420</t>
  </si>
  <si>
    <t>HF9A603</t>
  </si>
  <si>
    <t>Control Pipe</t>
  </si>
  <si>
    <t>500*500*660</t>
  </si>
  <si>
    <t>Core pick</t>
  </si>
  <si>
    <t xml:space="preserve"> </t>
  </si>
  <si>
    <t>RC2-1048-000</t>
  </si>
  <si>
    <t>260*280*300</t>
  </si>
  <si>
    <t>RU5-0980-000</t>
  </si>
  <si>
    <t>Gear Idler CRG</t>
  </si>
  <si>
    <t>TPZ</t>
  </si>
  <si>
    <t>395*450*500</t>
  </si>
  <si>
    <t>RU6-0015-000</t>
  </si>
  <si>
    <t>350*400*350</t>
  </si>
  <si>
    <t>RU5-0981-000</t>
  </si>
  <si>
    <t>Coupling Gear</t>
  </si>
  <si>
    <t>420*400*450</t>
  </si>
  <si>
    <t>410*400*450</t>
  </si>
  <si>
    <t>350*350*300</t>
  </si>
  <si>
    <t>RU5-0986-000</t>
  </si>
  <si>
    <t>Gear Pressure Roller</t>
  </si>
  <si>
    <t>235*250*250</t>
  </si>
  <si>
    <t>235-250*250</t>
  </si>
  <si>
    <t>RU6-0016-000</t>
  </si>
  <si>
    <t>TPH</t>
  </si>
  <si>
    <t>350*300*350</t>
  </si>
  <si>
    <t>RC2-1418-000</t>
  </si>
  <si>
    <t>SNS Reg</t>
  </si>
  <si>
    <t>350*300*300</t>
  </si>
  <si>
    <t>400*350*350</t>
  </si>
  <si>
    <t>RC2-1419-000</t>
  </si>
  <si>
    <t>CRG SNS STBY</t>
  </si>
  <si>
    <t>300*450*300</t>
  </si>
  <si>
    <t>265*300*280</t>
  </si>
  <si>
    <t>RC2-1054-000</t>
  </si>
  <si>
    <t>Separation Pad Arm</t>
  </si>
  <si>
    <t>320*400*300</t>
  </si>
  <si>
    <t>RU7-0026-000</t>
  </si>
  <si>
    <t>Fuser Idler Gear</t>
  </si>
  <si>
    <t>250*300*260</t>
  </si>
  <si>
    <t>RU7-0029-000</t>
  </si>
  <si>
    <t>Gear Fu Roller</t>
  </si>
  <si>
    <t>RU7-0031-000</t>
  </si>
  <si>
    <t>Gear FD Roller</t>
  </si>
  <si>
    <t>FP-3152BVX</t>
  </si>
  <si>
    <t>MP Separation Pad (M)</t>
  </si>
  <si>
    <t>350*300*320</t>
  </si>
  <si>
    <t>335*300*450</t>
  </si>
  <si>
    <t>350*400*360</t>
  </si>
  <si>
    <t>300*350*350</t>
  </si>
  <si>
    <t>300*350*360</t>
  </si>
  <si>
    <t>RU6-0020-000</t>
  </si>
  <si>
    <t>300*350*300</t>
  </si>
  <si>
    <t>RU6-8292-000</t>
  </si>
  <si>
    <t>Fuser Idler Gear 5</t>
  </si>
  <si>
    <t>290*300*340</t>
  </si>
  <si>
    <t>RC2-6337-000</t>
  </si>
  <si>
    <t>Paper Sensor 500</t>
  </si>
  <si>
    <t>310*290*270(180KGS)</t>
  </si>
  <si>
    <t>RC2-6150-000</t>
  </si>
  <si>
    <t>MP Cam L</t>
  </si>
  <si>
    <t>250*250*270</t>
  </si>
  <si>
    <t>RU7-0748-000</t>
  </si>
  <si>
    <t>Pick Gear 1</t>
  </si>
  <si>
    <t>330*350*400</t>
  </si>
  <si>
    <t>RU7-0749-000</t>
  </si>
  <si>
    <t>Pick Gear 2</t>
  </si>
  <si>
    <t>350*400*320</t>
  </si>
  <si>
    <t>RC3-3858-000</t>
  </si>
  <si>
    <t>Core pick Roller</t>
  </si>
  <si>
    <t>TPML</t>
  </si>
  <si>
    <t>250*280*300</t>
  </si>
  <si>
    <t>RU9-0148-000</t>
  </si>
  <si>
    <t xml:space="preserve">Du-Fu Gear </t>
  </si>
  <si>
    <t xml:space="preserve"> 242*300*300</t>
  </si>
  <si>
    <t>RU9-0144-000</t>
  </si>
  <si>
    <t>Du-W-Gear-B</t>
  </si>
  <si>
    <t>300*300*242</t>
  </si>
  <si>
    <t>RC4-3731-000</t>
  </si>
  <si>
    <t>RD-Spacer-L</t>
  </si>
  <si>
    <t>CHINA</t>
  </si>
  <si>
    <t>230*300*250</t>
  </si>
  <si>
    <t>RC4-3734-000</t>
  </si>
  <si>
    <t>RD-Spacer-R</t>
  </si>
  <si>
    <t>RC4-3738-000</t>
  </si>
  <si>
    <t>SW-Case</t>
  </si>
  <si>
    <t>300*300*260</t>
  </si>
  <si>
    <t>RC4-3479-000</t>
  </si>
  <si>
    <t>FD-N-Sensor-Holder</t>
  </si>
  <si>
    <t>320*400*295</t>
  </si>
  <si>
    <t>RC4-3480-000</t>
  </si>
  <si>
    <t>FD-Sensor-Flag</t>
  </si>
  <si>
    <t>280*230*275</t>
  </si>
  <si>
    <t>Lift Gear Cover</t>
  </si>
  <si>
    <t>RC4-5427-000</t>
  </si>
  <si>
    <t>MF-Uppler-Guide-1</t>
  </si>
  <si>
    <t>380*400*350</t>
  </si>
  <si>
    <t>RC4-5428-000</t>
  </si>
  <si>
    <t>MF-Uppler-Guide-2</t>
  </si>
  <si>
    <t>330*450*330</t>
  </si>
  <si>
    <t>RC4-5455-000</t>
  </si>
  <si>
    <t>RC4-5456-000</t>
  </si>
  <si>
    <t>MP Cam R</t>
  </si>
  <si>
    <t>RU9-0320-000</t>
  </si>
  <si>
    <t>FT-Gear-A</t>
  </si>
  <si>
    <t>RU9-0321-000</t>
  </si>
  <si>
    <t>FT-Gear-B</t>
  </si>
  <si>
    <t>RU9-0327-000</t>
  </si>
  <si>
    <t>FT-Gear-G</t>
  </si>
  <si>
    <t>RU9-0333-000</t>
  </si>
  <si>
    <t>Lift Crown Gear</t>
  </si>
  <si>
    <t>RU9-0334-000</t>
  </si>
  <si>
    <t>CST-Lift-Drive-Gear-1</t>
  </si>
  <si>
    <t>RU9-0335-000</t>
  </si>
  <si>
    <t>CST-Lift-Drive-Gear-2</t>
  </si>
  <si>
    <t>RU9-0336-000</t>
  </si>
  <si>
    <t>Lift Gear 1</t>
  </si>
  <si>
    <t>RU9-0337-000</t>
  </si>
  <si>
    <t>Lift Gear 2</t>
  </si>
  <si>
    <t>RU9-0338-000</t>
  </si>
  <si>
    <t>Lift Pinion Gear</t>
  </si>
  <si>
    <t>RU9-0339-000</t>
  </si>
  <si>
    <t>Lift Ratchet Gear 1</t>
  </si>
  <si>
    <t>RU9-0340-000</t>
  </si>
  <si>
    <t>Lift Ratchet Gear 2</t>
  </si>
  <si>
    <t>RC4-5312-000</t>
  </si>
  <si>
    <t>Lift Drive Frame</t>
  </si>
  <si>
    <t>RC4-5314-000</t>
  </si>
  <si>
    <t>Lift Gear Holder</t>
  </si>
  <si>
    <t>RC4-5429-000</t>
  </si>
  <si>
    <t>MP Paper Sensor</t>
  </si>
  <si>
    <t>RC4-5430-000</t>
  </si>
  <si>
    <t>MP Paper Sensor Shaft</t>
  </si>
  <si>
    <t>RU9-0322-000</t>
  </si>
  <si>
    <t>FT-Gear C</t>
  </si>
  <si>
    <t>RU9-0323-000</t>
  </si>
  <si>
    <t>FT-Gear D 1</t>
  </si>
  <si>
    <t>RU9-0324-000</t>
  </si>
  <si>
    <t>FT-Gear D 2</t>
  </si>
  <si>
    <t>RU9-0325-000</t>
  </si>
  <si>
    <t>FT-Gear E</t>
  </si>
  <si>
    <t>RU9-0353-000</t>
  </si>
  <si>
    <t>Wgear Motor</t>
  </si>
  <si>
    <t>RU9-0356-000</t>
  </si>
  <si>
    <t>Pick Idle Gear 1</t>
  </si>
  <si>
    <t>RU9-0363-000</t>
  </si>
  <si>
    <t>Separation Gear</t>
  </si>
  <si>
    <t>RU9-0375-000</t>
  </si>
  <si>
    <t>MP Dan Gear</t>
  </si>
  <si>
    <t>RU9-0380-000</t>
  </si>
  <si>
    <t>Multi Pick Gear</t>
  </si>
  <si>
    <t>RU9-0341-000</t>
  </si>
  <si>
    <t>Lift Worm Gear</t>
  </si>
  <si>
    <t>RU9-0342-000</t>
  </si>
  <si>
    <t>Gear Sun Z14</t>
  </si>
  <si>
    <t>RU9-0343-000</t>
  </si>
  <si>
    <t>Gear Inner Z23-Z42</t>
  </si>
  <si>
    <t>RU9-0359-000</t>
  </si>
  <si>
    <t xml:space="preserve">Feed Gear </t>
  </si>
  <si>
    <t>RU9-0360-000</t>
  </si>
  <si>
    <t>Feed Ratchet Gear 1</t>
  </si>
  <si>
    <t>RU9-0376-000</t>
  </si>
  <si>
    <t>MP Drive Idler Gear</t>
  </si>
  <si>
    <t>RU9-0388-000</t>
  </si>
  <si>
    <t>Gear Dup Pend Z24</t>
  </si>
  <si>
    <t>RU9-0256-000</t>
  </si>
  <si>
    <t>Output Roller Gear</t>
  </si>
  <si>
    <t>RU9-0263-000</t>
  </si>
  <si>
    <t>Pressure Release Cam Gear PR</t>
  </si>
  <si>
    <t>RU9-0285-000</t>
  </si>
  <si>
    <t>DV Idler Gear A</t>
  </si>
  <si>
    <t>RU9-0281-000</t>
  </si>
  <si>
    <t>Gear Return Roller</t>
  </si>
  <si>
    <t>RU9-0382-000</t>
  </si>
  <si>
    <t>Gear Dup Roller</t>
  </si>
  <si>
    <t>RC4-4861-000</t>
  </si>
  <si>
    <t>Front Door Link</t>
  </si>
  <si>
    <t>RU9-0282-000</t>
  </si>
  <si>
    <t>IW Gear</t>
  </si>
  <si>
    <t>RU9-0279-000</t>
  </si>
  <si>
    <t>Drum - Gear</t>
  </si>
  <si>
    <t>TPCZ</t>
  </si>
  <si>
    <t>340*310*310</t>
  </si>
  <si>
    <t>RC4-5316-000</t>
  </si>
  <si>
    <t>Lift Trigger Lever</t>
  </si>
  <si>
    <t>250*320*450</t>
  </si>
  <si>
    <t>250*450*320</t>
  </si>
  <si>
    <t>310*400*440</t>
  </si>
  <si>
    <t>RC1-3500-000</t>
  </si>
  <si>
    <t>Side click pin</t>
  </si>
  <si>
    <t>185*230*190</t>
  </si>
  <si>
    <t>RU9*0279</t>
  </si>
  <si>
    <t>DRUM GEAR</t>
  </si>
  <si>
    <t>400*350*400</t>
  </si>
  <si>
    <t>FE4-7846-000</t>
  </si>
  <si>
    <t>CAP-SW-100V-120V/CAP-SW-230V</t>
  </si>
  <si>
    <t>350*300*276</t>
  </si>
  <si>
    <t>FE4-7847-000</t>
  </si>
  <si>
    <t>CAP_SW_230V</t>
  </si>
  <si>
    <t>FC9-2019-000</t>
  </si>
  <si>
    <t>HOLDER AIR DUMPER</t>
  </si>
  <si>
    <t>350*230*260.5</t>
  </si>
  <si>
    <t>RU9-0724-000</t>
  </si>
  <si>
    <t>SHAFT-PICK DRIVE W/20T GEAR</t>
  </si>
  <si>
    <r>
      <t>400*400*310(</t>
    </r>
    <r>
      <rPr>
        <sz val="12"/>
        <color indexed="10"/>
        <rFont val="Times New Roman"/>
        <family val="1"/>
      </rPr>
      <t>500*450*310</t>
    </r>
    <r>
      <rPr>
        <sz val="12"/>
        <rFont val="Times New Roman"/>
        <family val="1"/>
      </rPr>
      <t>)</t>
    </r>
  </si>
  <si>
    <t>RU9-0729-000</t>
  </si>
  <si>
    <t>GEAR BEVEL</t>
  </si>
  <si>
    <t>MT</t>
  </si>
  <si>
    <t>350*300*250</t>
  </si>
  <si>
    <t>RU9-0730-000</t>
  </si>
  <si>
    <t>GEAR LAG 20T C</t>
  </si>
  <si>
    <t>250*280*250</t>
  </si>
  <si>
    <t>RC5-0063-000</t>
  </si>
  <si>
    <t>ROLLER SEPARATION W/20T GEAR</t>
  </si>
  <si>
    <t>400*300*335</t>
  </si>
  <si>
    <t>RC5-0065-000</t>
  </si>
  <si>
    <t>ROLLER-PRE PICK</t>
  </si>
  <si>
    <t>400*300*325</t>
  </si>
  <si>
    <t>COUPLING GEAR</t>
  </si>
  <si>
    <t>RC4-7808-000</t>
  </si>
  <si>
    <t>Cam- Lift Plate L-CA</t>
  </si>
  <si>
    <t>T.S</t>
  </si>
  <si>
    <t>SUB-CON : ATLAS</t>
  </si>
  <si>
    <t>RC4-7809-000</t>
  </si>
  <si>
    <t>CAM-LIFT PLATE-R-CA</t>
  </si>
  <si>
    <t>RC4-7996-000</t>
  </si>
  <si>
    <t>CAM-LIFT PLATE-L-SE</t>
  </si>
  <si>
    <t xml:space="preserve">SUB-CON: ASLAT </t>
  </si>
  <si>
    <t>RC4-7997-000</t>
  </si>
  <si>
    <t>CAM-LIFT PLATE-R-SE</t>
  </si>
  <si>
    <t>RU9-0692-000</t>
  </si>
  <si>
    <t>GEAR-W-1ST</t>
  </si>
  <si>
    <t>RU9-0702-000</t>
  </si>
  <si>
    <t>GEAR_IDLER_O_CPL</t>
  </si>
  <si>
    <t>RU9-0703-000</t>
  </si>
  <si>
    <t>GEAR_IDLER_RELEASE</t>
  </si>
  <si>
    <t>RU9-0705-000</t>
  </si>
  <si>
    <t>GEAR_REALEASE_W</t>
  </si>
  <si>
    <t>RU9-0708-000</t>
  </si>
  <si>
    <t>GEAR_DEV_RELEASE</t>
  </si>
  <si>
    <t>RU9-0741-000</t>
  </si>
  <si>
    <t>GEAR-IDLER_SW-2</t>
  </si>
  <si>
    <t>RU9-0745-000</t>
  </si>
  <si>
    <t>Z15_GEAR_SUN_F</t>
  </si>
  <si>
    <t>RU9-0748-000</t>
  </si>
  <si>
    <t>Z15_GEAR_SUN_R</t>
  </si>
  <si>
    <t>RC4-7849-000</t>
  </si>
  <si>
    <t>COVER_INTERLOCK_SW</t>
  </si>
  <si>
    <t>SUB-CON</t>
  </si>
  <si>
    <t>RC5-0498-000</t>
  </si>
  <si>
    <t>HOLDER_FFC_SFP</t>
  </si>
  <si>
    <t>RC5-0499-000</t>
  </si>
  <si>
    <t>FFC - HOLDER - LA</t>
  </si>
  <si>
    <t>RU9-0713-000</t>
  </si>
  <si>
    <t>FRICTION GEAR</t>
  </si>
  <si>
    <t>RU4-8112-000</t>
  </si>
  <si>
    <t>HOLDER MOTOR PCA SE_EM</t>
  </si>
  <si>
    <t>FE8-2235-000</t>
  </si>
  <si>
    <t>CLAMP_READER_SHAFT</t>
  </si>
  <si>
    <t>MU1-0472-000</t>
  </si>
  <si>
    <t>T AGITATOR GEAR</t>
  </si>
  <si>
    <t>MU1-0474-000</t>
  </si>
  <si>
    <t>D IDLER GEAR P</t>
  </si>
  <si>
    <t>MU1-0475-000</t>
  </si>
  <si>
    <t>D AGIGATOR GEAR P</t>
  </si>
  <si>
    <t>CORE PICK</t>
  </si>
  <si>
    <t>RU1-3080-000</t>
  </si>
  <si>
    <t>LINK-K-GEAR</t>
  </si>
  <si>
    <t>GEAR - IDLER - CRG</t>
  </si>
  <si>
    <t>CN153</t>
  </si>
  <si>
    <t>RU1-0393-000</t>
  </si>
  <si>
    <t>REGI-CLUTCH-GEAR -I</t>
  </si>
  <si>
    <t>MP-PAPER-SENSOR SHAFT</t>
  </si>
  <si>
    <t>CN155</t>
  </si>
  <si>
    <t>CAM-LIFT-PLATE-L-CA</t>
  </si>
  <si>
    <t>FE8-3031-000</t>
  </si>
  <si>
    <t>GUIDE, PANEL - CABLE 1(3MF)</t>
  </si>
  <si>
    <t xml:space="preserve">SUB-CON </t>
  </si>
  <si>
    <t>FE8-3267-000</t>
  </si>
  <si>
    <t>HOLDER - NFC</t>
  </si>
  <si>
    <t>BR002</t>
  </si>
  <si>
    <t>LM46482001</t>
  </si>
  <si>
    <t>Link Lever all</t>
  </si>
  <si>
    <t>TPC</t>
  </si>
  <si>
    <t>BR003</t>
  </si>
  <si>
    <t>LM4304-001</t>
  </si>
  <si>
    <t>Separation Roller Collar</t>
  </si>
  <si>
    <t>BR005</t>
  </si>
  <si>
    <t>LM4977-001</t>
  </si>
  <si>
    <t>Paper Stack Lever</t>
  </si>
  <si>
    <t>320*350*390</t>
  </si>
  <si>
    <t>LU2455-001</t>
  </si>
  <si>
    <t>300*450*320</t>
  </si>
  <si>
    <t>LM5365001</t>
  </si>
  <si>
    <t>Friction Disk all</t>
  </si>
  <si>
    <t>315*300*450</t>
  </si>
  <si>
    <t>LX4188001</t>
  </si>
  <si>
    <t>Paper Stack Lever BCFB</t>
  </si>
  <si>
    <t>LY2579001</t>
  </si>
  <si>
    <t>Feeder Cam Lever</t>
  </si>
  <si>
    <t>LS4602001</t>
  </si>
  <si>
    <t>LF Roller Sleeve</t>
  </si>
  <si>
    <t>LY4430-001</t>
  </si>
  <si>
    <t>P/P Idler Gear 30</t>
  </si>
  <si>
    <t>250*300*250</t>
  </si>
  <si>
    <t>350*500*325</t>
  </si>
  <si>
    <t>LY4089-001</t>
  </si>
  <si>
    <t>Agitatior Gear BL</t>
  </si>
  <si>
    <t>400*580*400</t>
  </si>
  <si>
    <t>BR017</t>
  </si>
  <si>
    <t>LY4090-001</t>
  </si>
  <si>
    <t>DS Idler Gear BL</t>
  </si>
  <si>
    <t>390*580*380</t>
  </si>
  <si>
    <t>LY4091-001</t>
  </si>
  <si>
    <t>Agitatior Idler Gear BL</t>
  </si>
  <si>
    <t>380*540*390</t>
  </si>
  <si>
    <t>LY4118-001</t>
  </si>
  <si>
    <t>TR Gear BL</t>
  </si>
  <si>
    <t>320*430*340</t>
  </si>
  <si>
    <t>LY4435-001</t>
  </si>
  <si>
    <t>Eject Idler Gear 20</t>
  </si>
  <si>
    <t>330*490*340</t>
  </si>
  <si>
    <t>LY4436-001</t>
  </si>
  <si>
    <t>Eject Idler Gear 19</t>
  </si>
  <si>
    <t>340*490*330</t>
  </si>
  <si>
    <t>LY4449-001</t>
  </si>
  <si>
    <t>Fuser Pendulum Gear 25</t>
  </si>
  <si>
    <t>360*530*380</t>
  </si>
  <si>
    <t>Ly4644-001</t>
  </si>
  <si>
    <t>DS Idler Gear BL Shy</t>
  </si>
  <si>
    <t>390*570*380</t>
  </si>
  <si>
    <t>LY4282-001</t>
  </si>
  <si>
    <t>Feed Roller Core BL</t>
  </si>
  <si>
    <t>280*350*240</t>
  </si>
  <si>
    <t>LY9139-001</t>
  </si>
  <si>
    <t>Gear 15</t>
  </si>
  <si>
    <t>400*450*400</t>
  </si>
  <si>
    <t>LY9128-001</t>
  </si>
  <si>
    <t>Side Guide Gear</t>
  </si>
  <si>
    <t>6923-6299</t>
  </si>
  <si>
    <t>Prot INJ TC</t>
  </si>
  <si>
    <t>350*460*400</t>
  </si>
  <si>
    <t>6923-6300</t>
  </si>
  <si>
    <t>Prot INJ NA</t>
  </si>
  <si>
    <t>390*450*400</t>
  </si>
  <si>
    <t>E328400</t>
  </si>
  <si>
    <t>Valve (F)</t>
  </si>
  <si>
    <t>180*200*195</t>
  </si>
  <si>
    <t>E328500</t>
  </si>
  <si>
    <t>Cap (F)</t>
  </si>
  <si>
    <t>230*250*245</t>
  </si>
  <si>
    <t>D142900</t>
  </si>
  <si>
    <t>Case A (F)</t>
  </si>
  <si>
    <t>400*320*355</t>
  </si>
  <si>
    <t>D143000</t>
  </si>
  <si>
    <t>Damper Shaft (F)</t>
  </si>
  <si>
    <t>250*250*265</t>
  </si>
  <si>
    <t>D142600</t>
  </si>
  <si>
    <t>Case A ( Z )</t>
  </si>
  <si>
    <t>320*700*350</t>
  </si>
  <si>
    <t>Case A ( F )</t>
  </si>
  <si>
    <t>320*720*350</t>
  </si>
  <si>
    <t>A00J1232-01B</t>
  </si>
  <si>
    <t>Coupling</t>
  </si>
  <si>
    <t>180*190*200</t>
  </si>
  <si>
    <t>A00J2102-00R</t>
  </si>
  <si>
    <t>Bearing</t>
  </si>
  <si>
    <t>230*220*230</t>
  </si>
  <si>
    <t>A00J2162-00B</t>
  </si>
  <si>
    <t>Coupling/1</t>
  </si>
  <si>
    <t>230*230*300</t>
  </si>
  <si>
    <t>A00J2167-00B</t>
  </si>
  <si>
    <t>Coupling/2</t>
  </si>
  <si>
    <t>230*285*400</t>
  </si>
  <si>
    <t>A00J2300-00B</t>
  </si>
  <si>
    <t>Fixing Gear /1</t>
  </si>
  <si>
    <t>250*325*300</t>
  </si>
  <si>
    <t>A00J2304-00B</t>
  </si>
  <si>
    <t>Fixing Gear /5</t>
  </si>
  <si>
    <t>250*275*300</t>
  </si>
  <si>
    <t>A00J2306-00B</t>
  </si>
  <si>
    <t>Paper Discharge Gear / 1</t>
  </si>
  <si>
    <t>250*305*300</t>
  </si>
  <si>
    <t>A00J2307-00B</t>
  </si>
  <si>
    <t>Paper Discharge Gear / 2</t>
  </si>
  <si>
    <t>250*245*300</t>
  </si>
  <si>
    <t>A00J2308-00B</t>
  </si>
  <si>
    <t>Paper Discharge Gear / 3</t>
  </si>
  <si>
    <t>A00J2322-00B</t>
  </si>
  <si>
    <t>Fixing Konb / 1</t>
  </si>
  <si>
    <t>250-305-300</t>
  </si>
  <si>
    <t>A00J3624-00B</t>
  </si>
  <si>
    <t>Drive Gear / 1</t>
  </si>
  <si>
    <t>A00J5933-00B</t>
  </si>
  <si>
    <t>Gear</t>
  </si>
  <si>
    <t>230*255*250</t>
  </si>
  <si>
    <t>A00J6130-00B</t>
  </si>
  <si>
    <t>Conveyance Gear / 1</t>
  </si>
  <si>
    <t>250*255*300</t>
  </si>
  <si>
    <t>4040-2546-01B</t>
  </si>
  <si>
    <t>280*300*295</t>
  </si>
  <si>
    <t>4038-4507-02B</t>
  </si>
  <si>
    <t>230*230*230</t>
  </si>
  <si>
    <t>A00J2301-01C</t>
  </si>
  <si>
    <t>Fixing Gear / 2</t>
  </si>
  <si>
    <t>250*300*315</t>
  </si>
  <si>
    <t>A00J2302-01C</t>
  </si>
  <si>
    <t>Fixing Gear / 3</t>
  </si>
  <si>
    <t>250*303*314</t>
  </si>
  <si>
    <t>A00J2303-01C</t>
  </si>
  <si>
    <t>Fixing Gear / 4</t>
  </si>
  <si>
    <t>GS251000</t>
  </si>
  <si>
    <t>Middle Gear</t>
  </si>
  <si>
    <t>230*230*190</t>
  </si>
  <si>
    <t>GS2511300</t>
  </si>
  <si>
    <t>Counter Pinion 2</t>
  </si>
  <si>
    <t>170*140*220</t>
  </si>
  <si>
    <t>GF1511300</t>
  </si>
  <si>
    <t>FRM - 2 Pinion</t>
  </si>
  <si>
    <t>220*230*250</t>
  </si>
  <si>
    <t>GF1511600</t>
  </si>
  <si>
    <t>FRM - 2 Counter Wheel Blank</t>
  </si>
  <si>
    <t>280*300*270</t>
  </si>
  <si>
    <t>GS2515320</t>
  </si>
  <si>
    <t>Counter Frame</t>
  </si>
  <si>
    <t>400*500*380</t>
  </si>
  <si>
    <t>GS2511410</t>
  </si>
  <si>
    <t>Pilot</t>
  </si>
  <si>
    <t>230*230*205</t>
  </si>
  <si>
    <t>GB4510000</t>
  </si>
  <si>
    <t>230*180*230</t>
  </si>
  <si>
    <t>GB4510100</t>
  </si>
  <si>
    <t>Collar</t>
  </si>
  <si>
    <t>130*130*130</t>
  </si>
  <si>
    <t>3-NNF-7-47</t>
  </si>
  <si>
    <t>Counter Wheel 3</t>
  </si>
  <si>
    <t>140*180*190</t>
  </si>
  <si>
    <t>AY91101PB0</t>
  </si>
  <si>
    <t>Pin</t>
  </si>
  <si>
    <t>TPM</t>
  </si>
  <si>
    <t>255*250*200</t>
  </si>
  <si>
    <t>AY91102PA0</t>
  </si>
  <si>
    <t>Retainer, Heater Control</t>
  </si>
  <si>
    <t>395*400*500</t>
  </si>
  <si>
    <t>AY91103PA1</t>
  </si>
  <si>
    <t>Shaft, Heater Control</t>
  </si>
  <si>
    <t>410*400*550</t>
  </si>
  <si>
    <t>AY91104PA0</t>
  </si>
  <si>
    <t>Guide, Heater Control</t>
  </si>
  <si>
    <t>370*400*600</t>
  </si>
  <si>
    <t>AY91105PA1</t>
  </si>
  <si>
    <t>355*350*450</t>
  </si>
  <si>
    <t>AY91106P02</t>
  </si>
  <si>
    <t>AY91107PA0</t>
  </si>
  <si>
    <t>AY91108P00</t>
  </si>
  <si>
    <t>AY91109PA0</t>
  </si>
  <si>
    <t>405*500*600</t>
  </si>
  <si>
    <t>AY91110P01</t>
  </si>
  <si>
    <t>435*500*750</t>
  </si>
  <si>
    <t>AY91111P00</t>
  </si>
  <si>
    <t>360*400*500</t>
  </si>
  <si>
    <t>AY91112P00</t>
  </si>
  <si>
    <t>Y91110P03</t>
  </si>
  <si>
    <t>500*750*465</t>
  </si>
  <si>
    <t>AY9E004PA0</t>
  </si>
  <si>
    <t>450*450*450</t>
  </si>
  <si>
    <t>AY9E005PA0</t>
  </si>
  <si>
    <t>400*550*480</t>
  </si>
  <si>
    <t>AY9E006PA1</t>
  </si>
  <si>
    <t>500*500*420</t>
  </si>
  <si>
    <t>AY9E007PA0</t>
  </si>
  <si>
    <t>400*500*360</t>
  </si>
  <si>
    <t>AY9E008PA0</t>
  </si>
  <si>
    <t>450*450*420</t>
  </si>
  <si>
    <t>AY9E009P00</t>
  </si>
  <si>
    <t>AY9E010PA0</t>
  </si>
  <si>
    <t>400*500*400</t>
  </si>
  <si>
    <t>AY9E011P00</t>
  </si>
  <si>
    <t>400*550*380</t>
  </si>
  <si>
    <t>AY9E012P01</t>
  </si>
  <si>
    <t>500*600*500</t>
  </si>
  <si>
    <t>AY9E013PA0</t>
  </si>
  <si>
    <t>Lever, air inlet damper control</t>
  </si>
  <si>
    <t>480*590*500</t>
  </si>
  <si>
    <t>AY9E014PA0</t>
  </si>
  <si>
    <t>500*400*400</t>
  </si>
  <si>
    <t>AY9E015PA0</t>
  </si>
  <si>
    <t>AY9E016PA0</t>
  </si>
  <si>
    <t>6923-6384</t>
  </si>
  <si>
    <t>Prot BBM5 - 67P12</t>
  </si>
  <si>
    <t>280*270*350</t>
  </si>
  <si>
    <t>6923-7218</t>
  </si>
  <si>
    <t>Prot 82817 - 52A30</t>
  </si>
  <si>
    <t>TPJP</t>
  </si>
  <si>
    <t>350*350*400</t>
  </si>
  <si>
    <t>6923-7219</t>
  </si>
  <si>
    <t>Prot 82815 - 52200</t>
  </si>
  <si>
    <t>250*325*280</t>
  </si>
  <si>
    <t>6923-7220</t>
  </si>
  <si>
    <t>Prot 82817 - 52A40</t>
  </si>
  <si>
    <t>400*342*600</t>
  </si>
  <si>
    <t>6923-7221</t>
  </si>
  <si>
    <t>Prot 82815 - 52210</t>
  </si>
  <si>
    <t>350*312*500</t>
  </si>
  <si>
    <t>6923-7297</t>
  </si>
  <si>
    <t>Prot 82817 - 52B00</t>
  </si>
  <si>
    <t>350*408*450</t>
  </si>
  <si>
    <t>6923-7298</t>
  </si>
  <si>
    <t>Prot 82815 - 52220</t>
  </si>
  <si>
    <t>280*350*330</t>
  </si>
  <si>
    <t>6923-7313</t>
  </si>
  <si>
    <t>Prot 52B20 - Body</t>
  </si>
  <si>
    <t>280*300*300</t>
  </si>
  <si>
    <t>6923-7314</t>
  </si>
  <si>
    <t>6923-7345</t>
  </si>
  <si>
    <t>Prot 82817 - 47D70</t>
  </si>
  <si>
    <t>400*500*450</t>
  </si>
  <si>
    <t>6923-7346</t>
  </si>
  <si>
    <t>Prot 82815 - 47A50</t>
  </si>
  <si>
    <t>250*315*280</t>
  </si>
  <si>
    <t>6923-7362</t>
  </si>
  <si>
    <t>Prot 82817 - 47J20</t>
  </si>
  <si>
    <t>300*305*350</t>
  </si>
  <si>
    <t>6923-7659</t>
  </si>
  <si>
    <t>Prot 82817 - 33G90A</t>
  </si>
  <si>
    <t>510*650*580</t>
  </si>
  <si>
    <t>6923-7732</t>
  </si>
  <si>
    <t>Prot - Dash - RH</t>
  </si>
  <si>
    <t>315*230*300</t>
  </si>
  <si>
    <t>6923-7734</t>
  </si>
  <si>
    <t>Prot 33D00 - Body</t>
  </si>
  <si>
    <t>CYLINDER/SLIDER</t>
  </si>
  <si>
    <t>750*1150*890</t>
  </si>
  <si>
    <t>6923-7535</t>
  </si>
  <si>
    <t>Prot 82815 - 33440</t>
  </si>
  <si>
    <t>530*1000*600</t>
  </si>
  <si>
    <t>6923-7730</t>
  </si>
  <si>
    <t>Prot 33C20 - Body</t>
  </si>
  <si>
    <t>600*1000*600</t>
  </si>
  <si>
    <t>6923-7394</t>
  </si>
  <si>
    <t>Prot 82815 - 33430</t>
  </si>
  <si>
    <t>450*900-400</t>
  </si>
  <si>
    <t>AT-SD-00010</t>
  </si>
  <si>
    <t>Lower Plate</t>
  </si>
  <si>
    <t>350*350*310</t>
  </si>
  <si>
    <t>AT-PD-00030</t>
  </si>
  <si>
    <t>Magnet Gear Blank</t>
  </si>
  <si>
    <t>230*180*175</t>
  </si>
  <si>
    <t>AT-SD-00050</t>
  </si>
  <si>
    <t>Wheel A Blank</t>
  </si>
  <si>
    <t>230*200*200</t>
  </si>
  <si>
    <t>AT-SD-00070</t>
  </si>
  <si>
    <t>Wheel B Blank</t>
  </si>
  <si>
    <t>230*225*210</t>
  </si>
  <si>
    <t>AT-SD-00090</t>
  </si>
  <si>
    <t>Transfer Pinion</t>
  </si>
  <si>
    <t>AT-SD-00100</t>
  </si>
  <si>
    <t>Gear 1</t>
  </si>
  <si>
    <t>250*220*230</t>
  </si>
  <si>
    <t>AT-SD-00110</t>
  </si>
  <si>
    <t>Gear 2</t>
  </si>
  <si>
    <t>AT-SD-00120</t>
  </si>
  <si>
    <t>Gear 3</t>
  </si>
  <si>
    <t>250*200*230</t>
  </si>
  <si>
    <t>AT-SD-00130</t>
  </si>
  <si>
    <t>Gear 4</t>
  </si>
  <si>
    <t>250*215*230</t>
  </si>
  <si>
    <t>AT-SD-00140</t>
  </si>
  <si>
    <t>Gear 5</t>
  </si>
  <si>
    <t>250*205*230</t>
  </si>
  <si>
    <t>AT-SD-00150</t>
  </si>
  <si>
    <t>Gear 6</t>
  </si>
  <si>
    <t>AT-SD-00160</t>
  </si>
  <si>
    <t>Gear 7</t>
  </si>
  <si>
    <t>200*250*230</t>
  </si>
  <si>
    <t>AT-SD-00170</t>
  </si>
  <si>
    <t>Gear 8</t>
  </si>
  <si>
    <t>300*400*295</t>
  </si>
  <si>
    <t>Pointer</t>
  </si>
  <si>
    <t>230*180*180</t>
  </si>
  <si>
    <t>AT-SD-30010</t>
  </si>
  <si>
    <t>AT-SD-30090</t>
  </si>
  <si>
    <t>320*350*260</t>
  </si>
  <si>
    <t>AT-SD-30040</t>
  </si>
  <si>
    <t>Fixing Ring</t>
  </si>
  <si>
    <t>400*350*305</t>
  </si>
  <si>
    <t>AT-SD-70010</t>
  </si>
  <si>
    <t>Pressure Proof Plate</t>
  </si>
  <si>
    <t>350*400*300</t>
  </si>
  <si>
    <t>Adjuster</t>
  </si>
  <si>
    <t>300*260*225</t>
  </si>
  <si>
    <t>AT-SD-70080</t>
  </si>
  <si>
    <t>Magnet Fixer</t>
  </si>
  <si>
    <t>AT-SD-00230</t>
  </si>
  <si>
    <t>Straniner</t>
  </si>
  <si>
    <t>200*170*230</t>
  </si>
  <si>
    <t>AT-SD-00240</t>
  </si>
  <si>
    <t>Gear 1 (20mm)</t>
  </si>
  <si>
    <t>215*250*230</t>
  </si>
  <si>
    <t>AT-SD-00390</t>
  </si>
  <si>
    <t>Gear 2 (20mm)</t>
  </si>
  <si>
    <t>AT-SD-30050</t>
  </si>
  <si>
    <t>AT-SD-30070</t>
  </si>
  <si>
    <t>350*400*325</t>
  </si>
  <si>
    <t>AT-SD-70130</t>
  </si>
  <si>
    <t>350*400*450</t>
  </si>
  <si>
    <t>AT-PD-30130</t>
  </si>
  <si>
    <t>270*300*245</t>
  </si>
  <si>
    <t>AT-SD-70210</t>
  </si>
  <si>
    <t>Holding Nut</t>
  </si>
  <si>
    <t>350*550*400</t>
  </si>
  <si>
    <t>AT-SD-00260</t>
  </si>
  <si>
    <t>Gear 1 (25mm)</t>
  </si>
  <si>
    <t>230*230*200</t>
  </si>
  <si>
    <t>AT-SD-00270</t>
  </si>
  <si>
    <t>Gear 2 (25mm)</t>
  </si>
  <si>
    <t>AT-SD-00280</t>
  </si>
  <si>
    <t>Gear 3 (25mm)</t>
  </si>
  <si>
    <t>230*220*200</t>
  </si>
  <si>
    <t>AT-SD-70250</t>
  </si>
  <si>
    <t>320*340*300</t>
  </si>
  <si>
    <t>AT-PD-30150</t>
  </si>
  <si>
    <t>300*400*550</t>
  </si>
  <si>
    <t>AT-PD-30060</t>
  </si>
  <si>
    <t>Magner fixer</t>
  </si>
  <si>
    <t>200*145*180</t>
  </si>
  <si>
    <t>AT-PD-00180</t>
  </si>
  <si>
    <t>Gear 1 (13mm)</t>
  </si>
  <si>
    <t>AT- PD-00190</t>
  </si>
  <si>
    <t>Gear 2 (13mm)</t>
  </si>
  <si>
    <t>250*200*250</t>
  </si>
  <si>
    <t>AT-PD-00200</t>
  </si>
  <si>
    <t>250*230*195</t>
  </si>
  <si>
    <t>AT-PD-00210</t>
  </si>
  <si>
    <t>250*400*230</t>
  </si>
  <si>
    <t>AT-PD-00220</t>
  </si>
  <si>
    <t>250*230*190</t>
  </si>
  <si>
    <t>AT-PD-00230</t>
  </si>
  <si>
    <t>250*230*200</t>
  </si>
  <si>
    <t>AT-PD-00240</t>
  </si>
  <si>
    <t>AT-PD-00250</t>
  </si>
  <si>
    <t>AT-PD-00260</t>
  </si>
  <si>
    <t>TPHJ</t>
  </si>
  <si>
    <t>280*230*210</t>
  </si>
  <si>
    <t>AT-PD-00290</t>
  </si>
  <si>
    <t>280*230*235</t>
  </si>
  <si>
    <t>AT-PD-00320</t>
  </si>
  <si>
    <t>280*230*255</t>
  </si>
  <si>
    <t>AT-PD-30080-RO</t>
  </si>
  <si>
    <t>Upper Gasket</t>
  </si>
  <si>
    <t>400*300*450</t>
  </si>
  <si>
    <t>AT-PD-30090</t>
  </si>
  <si>
    <t>345*305*290</t>
  </si>
  <si>
    <t>AT-PD-00390</t>
  </si>
  <si>
    <t>AT-PD-00400</t>
  </si>
  <si>
    <t>Gear 3 (20mm)</t>
  </si>
  <si>
    <t>230*200*165</t>
  </si>
  <si>
    <t>AT-PD-00370</t>
  </si>
  <si>
    <t>280*230*205</t>
  </si>
  <si>
    <t>AT-PD-02700</t>
  </si>
  <si>
    <t>PD20 Kyoto Register Box</t>
  </si>
  <si>
    <t>450*450*410</t>
  </si>
  <si>
    <t xml:space="preserve"> AT-PD-00250</t>
  </si>
  <si>
    <t>300*320*400</t>
  </si>
  <si>
    <t>280*230*230</t>
  </si>
  <si>
    <t>AT-PD-02580</t>
  </si>
  <si>
    <t>PD13 Kyoto Register Box</t>
  </si>
  <si>
    <t>350*400*385</t>
  </si>
  <si>
    <t>JILK094</t>
  </si>
  <si>
    <t>350*500*285</t>
  </si>
  <si>
    <t>AT-PD-00170</t>
  </si>
  <si>
    <t>AT-PD-001010</t>
  </si>
  <si>
    <t>Register Box</t>
  </si>
  <si>
    <t>AT-PD-00160</t>
  </si>
  <si>
    <t>Pilot Blank</t>
  </si>
  <si>
    <t>235*250*170</t>
  </si>
  <si>
    <t>J101080</t>
  </si>
  <si>
    <t>500*550*420</t>
  </si>
  <si>
    <t>AT-PD-50090</t>
  </si>
  <si>
    <t>200*200*230</t>
  </si>
  <si>
    <t>AT-PD-50050</t>
  </si>
  <si>
    <t>Gear 2 (30mm)</t>
  </si>
  <si>
    <t>250*200*200</t>
  </si>
  <si>
    <t>AT-PD-50060</t>
  </si>
  <si>
    <t>Gear 3 (30mm)</t>
  </si>
  <si>
    <t>200*200*240</t>
  </si>
  <si>
    <t>AT-PDY-00070</t>
  </si>
  <si>
    <t>AT-PDY-00100</t>
  </si>
  <si>
    <t>Gear 2 ( Y40mm)</t>
  </si>
  <si>
    <t>130*130*135</t>
  </si>
  <si>
    <t>AT-PDY-00110</t>
  </si>
  <si>
    <t>Gear 3 (Y40mm)</t>
  </si>
  <si>
    <t>100*120*150</t>
  </si>
  <si>
    <t>AT-PD-02870</t>
  </si>
  <si>
    <t>Upper plate</t>
  </si>
  <si>
    <t>AT-GTW-00020</t>
  </si>
  <si>
    <t>230*175*190</t>
  </si>
  <si>
    <t>AT-GTW-00030</t>
  </si>
  <si>
    <t>Gear 2 (GTW 50 MM)</t>
  </si>
  <si>
    <t>230*175*200</t>
  </si>
  <si>
    <t>AT-GTW-00070</t>
  </si>
  <si>
    <t>Gear 3 (GTW 50 MM)</t>
  </si>
  <si>
    <t>AT-GTW-.00100</t>
  </si>
  <si>
    <t>Gear 2 ( GTW 75 MM)</t>
  </si>
  <si>
    <t>AT-GTW-00040</t>
  </si>
  <si>
    <t>Gear 3 (GTW 75 MM)</t>
  </si>
  <si>
    <t>AT-GTW-00080</t>
  </si>
  <si>
    <t>Gear 2 (GTW 100 MM)</t>
  </si>
  <si>
    <t>AT-GTW-00110</t>
  </si>
  <si>
    <t>Gear 3 (GTW 100 MM)</t>
  </si>
  <si>
    <t>AT-PD-02520</t>
  </si>
  <si>
    <t>Register  Box Blank</t>
  </si>
  <si>
    <t>545*457*678</t>
  </si>
  <si>
    <t>W78X-P0002-M2</t>
  </si>
  <si>
    <t>350*300*260</t>
  </si>
  <si>
    <t>W78X-P0005-M2</t>
  </si>
  <si>
    <t>230*200*180</t>
  </si>
  <si>
    <t>W780-P0003-M3</t>
  </si>
  <si>
    <t>Impller</t>
  </si>
  <si>
    <t>350*350*340</t>
  </si>
  <si>
    <t>W780-P0004-M2</t>
  </si>
  <si>
    <t>Impller shaft</t>
  </si>
  <si>
    <t>300*250*330</t>
  </si>
  <si>
    <t>W781-P0003-M2</t>
  </si>
  <si>
    <t>350*350*350</t>
  </si>
  <si>
    <t>W781-P0004-M2</t>
  </si>
  <si>
    <t>200*250*275</t>
  </si>
  <si>
    <t>W78x-P0003-M3</t>
  </si>
  <si>
    <t>NPD Lower Plate</t>
  </si>
  <si>
    <t>350*350*320</t>
  </si>
  <si>
    <t>W780-P0009-M3</t>
  </si>
  <si>
    <t>NPD13 Register box blank</t>
  </si>
  <si>
    <t>400*400*410</t>
  </si>
  <si>
    <t>NPD20 Register box Blank</t>
  </si>
  <si>
    <t>NPD 20 Innercase</t>
  </si>
  <si>
    <t>W78X-P0001-M3</t>
  </si>
  <si>
    <t>NPD Pivot</t>
  </si>
  <si>
    <t>250*300*220</t>
  </si>
  <si>
    <t>W780-P0011-M0</t>
  </si>
  <si>
    <t>NPD13 strainer</t>
  </si>
  <si>
    <t>280*180*210</t>
  </si>
  <si>
    <t>AT-SD-0014</t>
  </si>
  <si>
    <t>Gear Plate</t>
  </si>
  <si>
    <t>SI-2270-69</t>
  </si>
  <si>
    <t>GEAR 1</t>
  </si>
  <si>
    <t>SI-2270-71</t>
  </si>
  <si>
    <t>GEAR 5</t>
  </si>
  <si>
    <t>SI-2270-72</t>
  </si>
  <si>
    <t>GEAR 7</t>
  </si>
  <si>
    <t>GEAR 3</t>
  </si>
  <si>
    <t>GEAR 6</t>
  </si>
  <si>
    <t>GEAR 8</t>
  </si>
  <si>
    <t>131488-1</t>
  </si>
  <si>
    <t xml:space="preserve">WHEEL A BLANK </t>
  </si>
  <si>
    <t>131489-1</t>
  </si>
  <si>
    <t xml:space="preserve">WHEEL B BLANK </t>
  </si>
  <si>
    <t>7173-2000</t>
  </si>
  <si>
    <t>Rear Gate Grommet Inner</t>
  </si>
  <si>
    <t>TPCH</t>
  </si>
  <si>
    <t>7173-2126</t>
  </si>
  <si>
    <t>Front Door Grommet Inner</t>
  </si>
  <si>
    <t>3V2M212280</t>
  </si>
  <si>
    <t>Spacer Drum</t>
  </si>
  <si>
    <t xml:space="preserve">Supplied </t>
  </si>
  <si>
    <t>3V2M206050</t>
  </si>
  <si>
    <t>Pulley Feed</t>
  </si>
  <si>
    <t>240*400*250</t>
  </si>
  <si>
    <t>3V2M331130</t>
  </si>
  <si>
    <t>Arm Clutch</t>
  </si>
  <si>
    <t>270*270*270</t>
  </si>
  <si>
    <t>3V2M224360</t>
  </si>
  <si>
    <t>Hook Cover Rear R</t>
  </si>
  <si>
    <t>300*250*250</t>
  </si>
  <si>
    <t>3V2M212090</t>
  </si>
  <si>
    <t>Shutter Disposal</t>
  </si>
  <si>
    <t>280*260*250</t>
  </si>
  <si>
    <t>3V3HK07080</t>
  </si>
  <si>
    <t>Collar S Spring</t>
  </si>
  <si>
    <t>3V2M206020</t>
  </si>
  <si>
    <t>Holder Roller C</t>
  </si>
  <si>
    <t>290*320*350</t>
  </si>
  <si>
    <t>3V2M206200</t>
  </si>
  <si>
    <t>Holder Rubber Feed</t>
  </si>
  <si>
    <t>310*250*300</t>
  </si>
  <si>
    <t>3V2M214030</t>
  </si>
  <si>
    <t>Pulley DLP</t>
  </si>
  <si>
    <t>250*250*300</t>
  </si>
  <si>
    <t>3V2M518120</t>
  </si>
  <si>
    <t>Holder Pad</t>
  </si>
  <si>
    <t>220*230*195</t>
  </si>
  <si>
    <t>3V2M231020</t>
  </si>
  <si>
    <t>Cover Drive</t>
  </si>
  <si>
    <t>600*700*440</t>
  </si>
  <si>
    <t>3V2M518810</t>
  </si>
  <si>
    <t>Core PF</t>
  </si>
  <si>
    <t>280*230*290</t>
  </si>
  <si>
    <t>3V2M231040</t>
  </si>
  <si>
    <t>Plate Pulse</t>
  </si>
  <si>
    <t>290*300*250</t>
  </si>
  <si>
    <t>3V2M206070</t>
  </si>
  <si>
    <t>Holder Separator</t>
  </si>
  <si>
    <t>280*300*320</t>
  </si>
  <si>
    <t>3V2M214242</t>
  </si>
  <si>
    <t>Shutter DLP</t>
    <phoneticPr fontId="1" type="noConversion"/>
  </si>
  <si>
    <t>300*400*330</t>
  </si>
  <si>
    <t>3V2M231070</t>
  </si>
  <si>
    <t>Gear Z68L - Z34 R</t>
    <phoneticPr fontId="1" type="noConversion"/>
  </si>
  <si>
    <t>340*400*350</t>
  </si>
  <si>
    <t>3V2M231290</t>
  </si>
  <si>
    <t>Cap gear</t>
    <phoneticPr fontId="1" type="noConversion"/>
  </si>
  <si>
    <t>340*230*230</t>
  </si>
  <si>
    <t>3V2M331020</t>
  </si>
  <si>
    <t>Gear Z57L - Z47R</t>
    <phoneticPr fontId="1" type="noConversion"/>
  </si>
  <si>
    <t>3V2M331030</t>
  </si>
  <si>
    <t>Gear Z39L - Z24L</t>
    <phoneticPr fontId="1" type="noConversion"/>
  </si>
  <si>
    <t>3V2M331040</t>
  </si>
  <si>
    <t>Gear Z66R - Z35S</t>
    <phoneticPr fontId="1" type="noConversion"/>
  </si>
  <si>
    <t>350*350*295</t>
  </si>
  <si>
    <t>3V2M331060</t>
  </si>
  <si>
    <t>Gear A Z14S</t>
    <phoneticPr fontId="1" type="noConversion"/>
  </si>
  <si>
    <t>230*230*220</t>
  </si>
  <si>
    <t>3V2M331070</t>
  </si>
  <si>
    <t>Gear B Z14S</t>
    <phoneticPr fontId="1" type="noConversion"/>
  </si>
  <si>
    <t>125*230*250</t>
  </si>
  <si>
    <t>3V2M518760</t>
  </si>
  <si>
    <t>Gear Z22S feed joint</t>
    <phoneticPr fontId="1" type="noConversion"/>
  </si>
  <si>
    <t>250*200*240</t>
  </si>
  <si>
    <t>3V2M518790</t>
  </si>
  <si>
    <t>Coupling Feed joint</t>
    <phoneticPr fontId="1" type="noConversion"/>
  </si>
  <si>
    <t>250*250*210</t>
  </si>
  <si>
    <t>3V2M331080</t>
  </si>
  <si>
    <t>Gear Z14S</t>
    <phoneticPr fontId="1" type="noConversion"/>
  </si>
  <si>
    <t>250*300*215</t>
  </si>
  <si>
    <t>3V2M331100</t>
  </si>
  <si>
    <t>Gear Z45S</t>
    <phoneticPr fontId="1" type="noConversion"/>
  </si>
  <si>
    <t>300*300*290</t>
  </si>
  <si>
    <t>3V2M331110</t>
  </si>
  <si>
    <t>Gear Z28S</t>
    <phoneticPr fontId="1" type="noConversion"/>
  </si>
  <si>
    <t>250*250*250</t>
  </si>
  <si>
    <t>3V2M212120</t>
  </si>
  <si>
    <t>Gear Idler Z21S - Z14L</t>
    <phoneticPr fontId="1" type="noConversion"/>
  </si>
  <si>
    <t>300*350*325</t>
  </si>
  <si>
    <t>3V2M212130</t>
  </si>
  <si>
    <t>Gear Disposal A Z46L</t>
    <phoneticPr fontId="1" type="noConversion"/>
  </si>
  <si>
    <t>300*300*285</t>
  </si>
  <si>
    <t>3V2M231060</t>
  </si>
  <si>
    <t>Gear Z85L - Z38L</t>
    <phoneticPr fontId="1" type="noConversion"/>
  </si>
  <si>
    <t>350*405*366</t>
  </si>
  <si>
    <t>3V2M231090</t>
  </si>
  <si>
    <t>Gear Z34L</t>
    <phoneticPr fontId="1" type="noConversion"/>
  </si>
  <si>
    <t>300*303*280</t>
  </si>
  <si>
    <t>3V2M231171</t>
  </si>
  <si>
    <t>Gear A Z38S</t>
    <phoneticPr fontId="1" type="noConversion"/>
  </si>
  <si>
    <t>300*350*310</t>
  </si>
  <si>
    <t>3V2M231180</t>
  </si>
  <si>
    <t>Gear B Z38S</t>
    <phoneticPr fontId="1" type="noConversion"/>
  </si>
  <si>
    <t>300*350*305</t>
  </si>
  <si>
    <t>3V2M231201</t>
  </si>
  <si>
    <t>Cover Gear</t>
    <phoneticPr fontId="1" type="noConversion"/>
  </si>
  <si>
    <t>280*300*260</t>
  </si>
  <si>
    <t>3V2M331050</t>
  </si>
  <si>
    <t>Gear Z34S</t>
    <phoneticPr fontId="1" type="noConversion"/>
  </si>
  <si>
    <t>280*273*270</t>
  </si>
  <si>
    <t>3V2M212100</t>
  </si>
  <si>
    <t>Gear Input Z50R-Z31S</t>
    <phoneticPr fontId="1" type="noConversion"/>
  </si>
  <si>
    <t>3V2M231050</t>
  </si>
  <si>
    <t>Gear Z68L-Z20R</t>
    <phoneticPr fontId="1" type="noConversion"/>
  </si>
  <si>
    <t>350*400*355</t>
  </si>
  <si>
    <t>3V2M231080</t>
  </si>
  <si>
    <t>Gear Z70L-Z29R</t>
    <phoneticPr fontId="1" type="noConversion"/>
  </si>
  <si>
    <t>300*350*320</t>
  </si>
  <si>
    <t>3V2M231120</t>
  </si>
  <si>
    <t>Gear Z82L-Z40L</t>
    <phoneticPr fontId="1" type="noConversion"/>
  </si>
  <si>
    <t>350*400*345</t>
  </si>
  <si>
    <t>3V2M231130</t>
  </si>
  <si>
    <t>Gear Z68R</t>
    <phoneticPr fontId="1" type="noConversion"/>
  </si>
  <si>
    <t>3V2M231140</t>
  </si>
  <si>
    <t>Gear Z53L-Z24L</t>
    <phoneticPr fontId="1" type="noConversion"/>
  </si>
  <si>
    <t xml:space="preserve"> 3V2M231150</t>
  </si>
  <si>
    <t>Gear Z31R</t>
    <phoneticPr fontId="1" type="noConversion"/>
  </si>
  <si>
    <t>270*280*245</t>
  </si>
  <si>
    <t>3V2M231270</t>
  </si>
  <si>
    <t>Gear Z57L-Z36R</t>
    <phoneticPr fontId="1" type="noConversion"/>
  </si>
  <si>
    <t>3V2M231281</t>
  </si>
  <si>
    <t>Gear Z19S</t>
    <phoneticPr fontId="1" type="noConversion"/>
  </si>
  <si>
    <t>3V2M331090</t>
  </si>
  <si>
    <t>Gear Z42S-Z20S</t>
    <phoneticPr fontId="1" type="noConversion"/>
  </si>
  <si>
    <t>3V2M518710</t>
  </si>
  <si>
    <t>Shaft Pick</t>
    <phoneticPr fontId="1" type="noConversion"/>
  </si>
  <si>
    <t>200*250*225</t>
  </si>
  <si>
    <t>3V2M51840</t>
  </si>
  <si>
    <t>Shaft PF</t>
    <phoneticPr fontId="1" type="noConversion"/>
  </si>
  <si>
    <t>280*350*300</t>
  </si>
  <si>
    <t>Gear Z39L Z24L</t>
  </si>
  <si>
    <t>280*300*310</t>
  </si>
  <si>
    <t>302M212060</t>
  </si>
  <si>
    <t>Bush druml</t>
  </si>
  <si>
    <t>250*300*300</t>
  </si>
  <si>
    <t>3V2LV12150</t>
  </si>
  <si>
    <t>BUSH DRUM SCREW</t>
  </si>
  <si>
    <t>200*220*180</t>
  </si>
  <si>
    <t>3V2LV14210</t>
  </si>
  <si>
    <t>GEAR Z19L</t>
  </si>
  <si>
    <t>3V2LV14220</t>
  </si>
  <si>
    <t>GEAR Z14R-Z37L</t>
  </si>
  <si>
    <t>300*300*350</t>
  </si>
  <si>
    <t>3V2LV31130</t>
  </si>
  <si>
    <t>GEAR Z37S FREE</t>
  </si>
  <si>
    <t>280*240*220</t>
  </si>
  <si>
    <t>3V2LV31150</t>
  </si>
  <si>
    <t>GEAR Z28S</t>
  </si>
  <si>
    <t>3V2LV31340</t>
  </si>
  <si>
    <t>ARM COUPLING B</t>
  </si>
  <si>
    <t>230*260*230</t>
  </si>
  <si>
    <t>3V2LV31100</t>
  </si>
  <si>
    <t>Gear Z24L</t>
  </si>
  <si>
    <t>350*400*340</t>
  </si>
  <si>
    <t>3V2LV31060</t>
  </si>
  <si>
    <t>Gear Z80R - Z36L</t>
  </si>
  <si>
    <t>280*260*245</t>
  </si>
  <si>
    <t>3V2LV31110</t>
  </si>
  <si>
    <t>Gear Z44R - Z42L Fuser</t>
  </si>
  <si>
    <t>345*410*340</t>
  </si>
  <si>
    <t>3V2LV31190</t>
  </si>
  <si>
    <t>Gear Z32L Reg Clutch</t>
  </si>
  <si>
    <t>350*350*290</t>
  </si>
  <si>
    <t>3V2LV31360</t>
  </si>
  <si>
    <t>Gear Z32L Mid Clutch</t>
  </si>
  <si>
    <t>3V2LV31380</t>
  </si>
  <si>
    <t>Gear Z45S - Z24S</t>
  </si>
  <si>
    <t>3V2LV31390</t>
  </si>
  <si>
    <t>Gear Z36S</t>
  </si>
  <si>
    <t>280*270*270</t>
  </si>
  <si>
    <t>3V2LV14200</t>
  </si>
  <si>
    <t>Gear Z37R</t>
  </si>
  <si>
    <t>3V2LV14250</t>
  </si>
  <si>
    <t>GEAR Z22R</t>
  </si>
  <si>
    <t>280*270*250</t>
  </si>
  <si>
    <t>3V2LV31080</t>
  </si>
  <si>
    <t>GEAR Z35R</t>
  </si>
  <si>
    <t>350*350*270</t>
  </si>
  <si>
    <t>3V2LV31090</t>
  </si>
  <si>
    <t>GEAR Z44L - Z35R</t>
  </si>
  <si>
    <t>3V2LV31120</t>
  </si>
  <si>
    <t>GEAR Z46L FREE</t>
  </si>
  <si>
    <t>3V2LV31140</t>
  </si>
  <si>
    <t>GEAR Z38R - Z20R</t>
  </si>
  <si>
    <t>3V2LV31180</t>
  </si>
  <si>
    <t>GEAR Z26L - DLP CLUTCH</t>
  </si>
  <si>
    <t>280*270*260</t>
  </si>
  <si>
    <t>3V2LV31400</t>
  </si>
  <si>
    <t>GEAR Z14R - Z37L</t>
  </si>
  <si>
    <t>3V3LV14230</t>
  </si>
  <si>
    <t>GEAR Z14R-Z34L</t>
  </si>
  <si>
    <t>290*350*300</t>
  </si>
  <si>
    <t>3V2LV14240</t>
  </si>
  <si>
    <t>GEAR Z26L-Z34L</t>
  </si>
  <si>
    <t>330*400*350</t>
  </si>
  <si>
    <t>3V2LV31200</t>
  </si>
  <si>
    <t>GEAR Z25S DU CLUTCH</t>
  </si>
  <si>
    <t>3V2LV31370</t>
  </si>
  <si>
    <t>GEAR Z56S-Z18S</t>
  </si>
  <si>
    <t>GEAR Z35S-Z13S</t>
  </si>
  <si>
    <t>260*250*280</t>
  </si>
  <si>
    <t>3V2LV31020</t>
  </si>
  <si>
    <t>HOLDER FEED DRIVE A</t>
  </si>
  <si>
    <t>3V2LV31030</t>
  </si>
  <si>
    <t>HOLDER FEED DRIVE B</t>
  </si>
  <si>
    <t>3V2LV31040</t>
  </si>
  <si>
    <t>HOLDER CLUTCH</t>
  </si>
  <si>
    <t>300*300*270</t>
  </si>
  <si>
    <t>3V2K931770</t>
  </si>
  <si>
    <t>GEAR WORM CL</t>
  </si>
  <si>
    <t>3V2HS08280</t>
  </si>
  <si>
    <t>PULLEY MPF</t>
  </si>
  <si>
    <t>3V2HN06070</t>
  </si>
  <si>
    <t>PULLEY Z30R PICKUP</t>
  </si>
  <si>
    <t>280*270*280</t>
  </si>
  <si>
    <t>3V2L231050</t>
  </si>
  <si>
    <t>GEAR Z86R-Z36L</t>
  </si>
  <si>
    <t>340*380*340</t>
  </si>
  <si>
    <t>3V2LV31050</t>
  </si>
  <si>
    <t>GEAR Z119R</t>
  </si>
  <si>
    <t>290*340*290</t>
  </si>
  <si>
    <t>3V2LV11160</t>
  </si>
  <si>
    <t>FLANGE DRUM L</t>
  </si>
  <si>
    <t>260*350*300</t>
  </si>
  <si>
    <t>3V2LV31480</t>
  </si>
  <si>
    <t>BUSH DRIVE POM</t>
  </si>
  <si>
    <t>250*250*260</t>
  </si>
  <si>
    <t>3V2HS31140</t>
  </si>
  <si>
    <t>SHAEFT CLUTCH FEED</t>
  </si>
  <si>
    <t>280*320*300</t>
  </si>
  <si>
    <t>3V2KV31310</t>
  </si>
  <si>
    <t>BUSH DRIVE</t>
  </si>
  <si>
    <t>240*250*250</t>
  </si>
  <si>
    <t>3V2KV31410</t>
  </si>
  <si>
    <t>GEAR Z48S LIFT</t>
  </si>
  <si>
    <t>3V2LV09240</t>
  </si>
  <si>
    <t>GEAR Z63R-P32 ISU</t>
  </si>
  <si>
    <t>270*250*250</t>
  </si>
  <si>
    <t>3V2F906290</t>
  </si>
  <si>
    <t>Shaft Feed R</t>
  </si>
  <si>
    <t>FR0397AP10</t>
  </si>
  <si>
    <t>200*195*200</t>
  </si>
  <si>
    <t xml:space="preserve"> PU0026AP11</t>
  </si>
  <si>
    <t xml:space="preserve">PU-DISC </t>
  </si>
  <si>
    <t>PU0028AP11</t>
  </si>
  <si>
    <t>320*300*300</t>
  </si>
  <si>
    <t xml:space="preserve"> PU0027AP11</t>
  </si>
  <si>
    <t>395*300*280</t>
  </si>
  <si>
    <t xml:space="preserve"> PU0040AP11</t>
  </si>
  <si>
    <t>300*250*270</t>
  </si>
  <si>
    <t>PU0049AP11</t>
  </si>
  <si>
    <t>260*300*250</t>
  </si>
  <si>
    <t>PU0021AP10</t>
  </si>
  <si>
    <t>300*300*275</t>
  </si>
  <si>
    <t>DV0032A-X301-00</t>
  </si>
  <si>
    <t>DV0032A-X302-00</t>
  </si>
  <si>
    <t>FR0411AP11</t>
  </si>
  <si>
    <t>IN CHINA</t>
  </si>
  <si>
    <t xml:space="preserve"> 300*340*300</t>
  </si>
  <si>
    <t>MARKING CAP</t>
  </si>
  <si>
    <t>ST012</t>
  </si>
  <si>
    <t>PU0017AP</t>
  </si>
  <si>
    <t xml:space="preserve">MOLD CAVITY </t>
  </si>
  <si>
    <t>RF0448AP12</t>
  </si>
  <si>
    <t>PLASTIC CORE</t>
  </si>
  <si>
    <t>008E98450</t>
  </si>
  <si>
    <t>FOLLOWER L</t>
  </si>
  <si>
    <t>200*250*246</t>
  </si>
  <si>
    <t>008E98420</t>
  </si>
  <si>
    <t>FOLLOWER R</t>
  </si>
  <si>
    <t>059E06882</t>
  </si>
  <si>
    <t>ROLL TRACKING D</t>
  </si>
  <si>
    <t>300*250*235</t>
  </si>
  <si>
    <t>059E06892</t>
  </si>
  <si>
    <t>ROLL TRACKING AD</t>
  </si>
  <si>
    <t>807E44180</t>
  </si>
  <si>
    <t>GEAR D4 OUT</t>
  </si>
  <si>
    <t>500*300*340</t>
  </si>
  <si>
    <t>807E44220</t>
  </si>
  <si>
    <t>GEAR PH4</t>
  </si>
  <si>
    <t>450*250*308</t>
  </si>
  <si>
    <t>807E44430</t>
  </si>
  <si>
    <t>GEAR PH5</t>
  </si>
  <si>
    <t>807E36600</t>
  </si>
  <si>
    <t>GEAR IDLER HR</t>
  </si>
  <si>
    <t>300*200*257</t>
  </si>
  <si>
    <t>003E74923</t>
  </si>
  <si>
    <t>STOPPER DRUM D</t>
  </si>
  <si>
    <t>300*250*274</t>
  </si>
  <si>
    <t>013E40720</t>
  </si>
  <si>
    <t>FLANGE D4</t>
  </si>
  <si>
    <t>300*290*320</t>
  </si>
  <si>
    <t>013E37941</t>
  </si>
  <si>
    <t>BEARING MAD D</t>
  </si>
  <si>
    <t>180*180*240</t>
  </si>
  <si>
    <t>013E37953</t>
  </si>
  <si>
    <t>BEARING MAD AD</t>
  </si>
  <si>
    <t>200*250*250</t>
  </si>
  <si>
    <t>013E37960</t>
  </si>
  <si>
    <t>BEARING GEAR D</t>
  </si>
  <si>
    <t>180*180*220</t>
  </si>
  <si>
    <t>013E44880</t>
  </si>
  <si>
    <t>BEARING REGI METAL</t>
  </si>
  <si>
    <t>300*250*320</t>
  </si>
  <si>
    <t>020E51030</t>
  </si>
  <si>
    <t>PULLEY IDL</t>
  </si>
  <si>
    <t>200*230*260</t>
  </si>
  <si>
    <t>013E38130</t>
  </si>
  <si>
    <t>ROLL CORE</t>
  </si>
  <si>
    <t>200*200*210</t>
  </si>
  <si>
    <t>807E44970</t>
  </si>
  <si>
    <t>GEAR EXIT</t>
  </si>
  <si>
    <t>250*250*285</t>
  </si>
  <si>
    <t>807E44980</t>
  </si>
  <si>
    <t>GEAR IDLER EXIT</t>
  </si>
  <si>
    <t>230*230*275</t>
  </si>
  <si>
    <t>807E44990</t>
  </si>
  <si>
    <t>GEAR IDLER 34</t>
  </si>
  <si>
    <t>250*300*275</t>
  </si>
  <si>
    <t>032E43450</t>
  </si>
  <si>
    <t>GEAR PINION</t>
  </si>
  <si>
    <t>822E05140</t>
  </si>
  <si>
    <t>COVER CONNECTOR</t>
  </si>
  <si>
    <t>011E27850</t>
  </si>
  <si>
    <t xml:space="preserve">LEVER GUIDE END X V </t>
  </si>
  <si>
    <t>250*230*260</t>
  </si>
  <si>
    <t>055E58601</t>
  </si>
  <si>
    <t>SHUTTER DUCT</t>
  </si>
  <si>
    <t>250*300*310</t>
  </si>
  <si>
    <t>059E06841</t>
  </si>
  <si>
    <t xml:space="preserve">AUGER CLNG XERO </t>
  </si>
  <si>
    <t>450*450*350</t>
  </si>
  <si>
    <t>062E15901</t>
  </si>
  <si>
    <t>LENS LED</t>
  </si>
  <si>
    <t>200*180*200</t>
  </si>
  <si>
    <t>120E35270</t>
  </si>
  <si>
    <t>ACTUATOR NO PAPER  V</t>
  </si>
  <si>
    <t>300*400*280</t>
  </si>
  <si>
    <t>807E44120</t>
  </si>
  <si>
    <t>GEAR D6 V</t>
  </si>
  <si>
    <t xml:space="preserve"> Supplied by customer</t>
  </si>
  <si>
    <t>807E44150</t>
  </si>
  <si>
    <t>GEAR IDLER D2 V</t>
  </si>
  <si>
    <t>807E44190</t>
  </si>
  <si>
    <t>GEAR DK1 V</t>
  </si>
  <si>
    <t>350*500*330</t>
  </si>
  <si>
    <t>807E44200</t>
  </si>
  <si>
    <t>GEAR DK2 V</t>
  </si>
  <si>
    <t>300*400*300</t>
  </si>
  <si>
    <t>807E44250</t>
  </si>
  <si>
    <t>GEAR F3 V</t>
  </si>
  <si>
    <t>807E44260</t>
  </si>
  <si>
    <t>GEAR PH3 V</t>
  </si>
  <si>
    <t>300*350*390</t>
  </si>
  <si>
    <t>807E44350</t>
  </si>
  <si>
    <t>GEAR T1 V</t>
  </si>
  <si>
    <t>250*300*270</t>
  </si>
  <si>
    <t>822E05160</t>
  </si>
  <si>
    <t>COVER SIDE AD V</t>
  </si>
  <si>
    <t>250*230*250</t>
  </si>
  <si>
    <t>848E51012</t>
  </si>
  <si>
    <t xml:space="preserve">HOUSING CLN </t>
  </si>
  <si>
    <t>450*600*480</t>
  </si>
  <si>
    <t>848E54392</t>
  </si>
  <si>
    <t>COVER SENSOR</t>
  </si>
  <si>
    <t>320*350*270</t>
  </si>
  <si>
    <t>014E65541</t>
  </si>
  <si>
    <t>BLOCK SIDE D</t>
  </si>
  <si>
    <t>200*260*200</t>
  </si>
  <si>
    <t>050E30750</t>
  </si>
  <si>
    <t xml:space="preserve">TRAY MSI EXTENTION </t>
  </si>
  <si>
    <t>300*600*300</t>
  </si>
  <si>
    <t>029E48383</t>
  </si>
  <si>
    <t xml:space="preserve">KEY-HW YMC KM </t>
  </si>
  <si>
    <t>FX039-4</t>
  </si>
  <si>
    <t>FX039-5</t>
  </si>
  <si>
    <t>029E48393</t>
  </si>
  <si>
    <t>KEY-HW YMC XC</t>
  </si>
  <si>
    <t>FX040-4</t>
  </si>
  <si>
    <t>FX040-5</t>
  </si>
  <si>
    <t>032E35983</t>
  </si>
  <si>
    <t xml:space="preserve">GUIDE HARNESS </t>
  </si>
  <si>
    <t>300*400*340</t>
  </si>
  <si>
    <t>019E86700</t>
  </si>
  <si>
    <t>HOLDER MSI EXITENSION V</t>
  </si>
  <si>
    <t>300*270*270</t>
  </si>
  <si>
    <t>807E32091</t>
  </si>
  <si>
    <t xml:space="preserve">GEAR-HR </t>
  </si>
  <si>
    <t>300*400*310</t>
  </si>
  <si>
    <t>807E44360</t>
  </si>
  <si>
    <t>GEAR X2 V</t>
  </si>
  <si>
    <t>807E44130</t>
  </si>
  <si>
    <t>GEAR D5 V</t>
  </si>
  <si>
    <t>350*500*340</t>
  </si>
  <si>
    <t>807E44140</t>
  </si>
  <si>
    <t>GEAR IDLER D1 V</t>
  </si>
  <si>
    <t>300*450*290</t>
  </si>
  <si>
    <t>807E44320</t>
  </si>
  <si>
    <t>GEAR AUGER CLNG XERO V</t>
  </si>
  <si>
    <t>807E44160</t>
  </si>
  <si>
    <t>GEAR D2 V</t>
  </si>
  <si>
    <t>807E44170</t>
  </si>
  <si>
    <t>GEAR D3 V</t>
  </si>
  <si>
    <t>807E44210</t>
  </si>
  <si>
    <t>GEAR C V</t>
  </si>
  <si>
    <t>807E44310</t>
  </si>
  <si>
    <t>GEAR PF2 V</t>
  </si>
  <si>
    <t>807E44340</t>
  </si>
  <si>
    <t>GEAR DRV V</t>
  </si>
  <si>
    <t>822E05220</t>
  </si>
  <si>
    <t>HOUSING DRV PH V</t>
  </si>
  <si>
    <t>822E05150</t>
  </si>
  <si>
    <t>COVER SIDE D V</t>
  </si>
  <si>
    <t>350*350*360</t>
  </si>
  <si>
    <t>038E44880</t>
  </si>
  <si>
    <t>GUIDE END V</t>
  </si>
  <si>
    <t>320*300*290</t>
  </si>
  <si>
    <t>807E44280</t>
  </si>
  <si>
    <t>GEAR X1 V</t>
  </si>
  <si>
    <t>300*350*330</t>
  </si>
  <si>
    <t>807E45020</t>
  </si>
  <si>
    <t>GEAR FEED V</t>
  </si>
  <si>
    <t>013E38101</t>
  </si>
  <si>
    <t>BEARING BTR R</t>
  </si>
  <si>
    <t>200*200*260</t>
  </si>
  <si>
    <t>013E40970</t>
  </si>
  <si>
    <t>BEARING-BCR AD N</t>
  </si>
  <si>
    <t>019E89260</t>
  </si>
  <si>
    <t>HOLDER RETARD  V</t>
  </si>
  <si>
    <t>350*400*370</t>
  </si>
  <si>
    <t>019E89210</t>
  </si>
  <si>
    <t>HOLDER BTM L V</t>
  </si>
  <si>
    <t>230*200*250</t>
  </si>
  <si>
    <t>019E89220</t>
  </si>
  <si>
    <t>HOLDER BTM R V</t>
  </si>
  <si>
    <t>230*200*240</t>
  </si>
  <si>
    <t>054E42864</t>
  </si>
  <si>
    <t>DUCT CLNG XB</t>
  </si>
  <si>
    <t>350*450*380</t>
  </si>
  <si>
    <t>801E29240</t>
  </si>
  <si>
    <t xml:space="preserve">FRAME MU AD V </t>
  </si>
  <si>
    <t>550*600*500</t>
  </si>
  <si>
    <t>801E29230</t>
  </si>
  <si>
    <t>FRAME MU D V</t>
  </si>
  <si>
    <t>807E45000</t>
  </si>
  <si>
    <t>GEAR D4 IN V</t>
  </si>
  <si>
    <t>350*500*320</t>
  </si>
  <si>
    <t>848E50524</t>
  </si>
  <si>
    <t>HOUSING DRIVE DEVE</t>
  </si>
  <si>
    <t>500*550*500</t>
  </si>
  <si>
    <t>848E50544</t>
  </si>
  <si>
    <t>HOUSING DEVE</t>
  </si>
  <si>
    <t>550*600*480</t>
  </si>
  <si>
    <t>848E50555</t>
  </si>
  <si>
    <t>COVER UPPER</t>
  </si>
  <si>
    <t>500*530*440</t>
  </si>
  <si>
    <t>059E09920</t>
  </si>
  <si>
    <t>ROLL CORE V</t>
  </si>
  <si>
    <t>059E09860</t>
  </si>
  <si>
    <t>240*230*180</t>
  </si>
  <si>
    <t>807E47680</t>
  </si>
  <si>
    <t>GEAR PH6 P</t>
  </si>
  <si>
    <t>310*350*350</t>
  </si>
  <si>
    <t>021E14821</t>
  </si>
  <si>
    <t>CAP-AUGER</t>
  </si>
  <si>
    <t>230*230*250</t>
  </si>
  <si>
    <t>807E47670</t>
  </si>
  <si>
    <t>GEAR PH5 P</t>
  </si>
  <si>
    <t>807E47660</t>
  </si>
  <si>
    <t>GEAR PH3 P</t>
  </si>
  <si>
    <t>325*350*350</t>
  </si>
  <si>
    <t>013E45130</t>
  </si>
  <si>
    <t>BEARING MAG AD</t>
  </si>
  <si>
    <t>230*180*240</t>
  </si>
  <si>
    <t>803E21960</t>
  </si>
  <si>
    <t>LATCH-CST</t>
  </si>
  <si>
    <t>300*250*275</t>
  </si>
  <si>
    <t>013E45150</t>
  </si>
  <si>
    <t>BEARING -GEAR XERO</t>
  </si>
  <si>
    <t>013E 45150</t>
  </si>
  <si>
    <t>806E 45550</t>
  </si>
  <si>
    <t>SHAFT AUGER AD</t>
  </si>
  <si>
    <t>822E 11440</t>
  </si>
  <si>
    <t>HOUSING DRIVE PH P</t>
  </si>
  <si>
    <t>019E89730</t>
  </si>
  <si>
    <t>HOLDER-LATCH CST</t>
  </si>
  <si>
    <t>822E 10551</t>
  </si>
  <si>
    <t xml:space="preserve">COVER SIDE D </t>
  </si>
  <si>
    <t>019E 89700</t>
  </si>
  <si>
    <t>HOLDER-BOTTOM L</t>
  </si>
  <si>
    <t>019E 89710</t>
  </si>
  <si>
    <t>HOLDER-BOTTOM R</t>
  </si>
  <si>
    <t>019E 89690</t>
  </si>
  <si>
    <t>HOLDER-ARM R</t>
  </si>
  <si>
    <t>019E 89750</t>
  </si>
  <si>
    <t>HOLDER-BOTTOM IN R</t>
  </si>
  <si>
    <t>031E 12151</t>
  </si>
  <si>
    <t>ARM BOTTOM IN L</t>
  </si>
  <si>
    <t>031E 12161</t>
  </si>
  <si>
    <t>ARM BOTTOM IN R</t>
  </si>
  <si>
    <t>819E 00030</t>
  </si>
  <si>
    <t>HOLDER FEED V</t>
  </si>
  <si>
    <t>059E 09881</t>
  </si>
  <si>
    <t>011E 28080</t>
  </si>
  <si>
    <t>LEVER EXT END X MAT</t>
  </si>
  <si>
    <t>011E 28112</t>
  </si>
  <si>
    <t>LEVER GUIDE SIDE X MAT</t>
  </si>
  <si>
    <t>019E 89740</t>
  </si>
  <si>
    <t>HOLDER BOTTOM IN L</t>
  </si>
  <si>
    <t>807E 47590</t>
  </si>
  <si>
    <t>GEAR AUGER ADMIX</t>
  </si>
  <si>
    <t>807E 47600</t>
  </si>
  <si>
    <t>GEAR AUGER SUPPLY</t>
  </si>
  <si>
    <t>807E 47640</t>
  </si>
  <si>
    <t>GEAR-AUGER BELT</t>
  </si>
  <si>
    <t>807E 47650</t>
  </si>
  <si>
    <t>GEAR-AUGER XERO</t>
  </si>
  <si>
    <t>032E 44180</t>
  </si>
  <si>
    <t>GUIDE SIDE L X MAT</t>
  </si>
  <si>
    <t>054E 55420</t>
  </si>
  <si>
    <t>CHUTE-UPPER</t>
  </si>
  <si>
    <t>801E 31774</t>
  </si>
  <si>
    <t>FRAME FRONT</t>
  </si>
  <si>
    <t>815E 90460</t>
  </si>
  <si>
    <t>PLATE BOTTOM X MAT</t>
  </si>
  <si>
    <t>815E 90450</t>
  </si>
  <si>
    <t>PLATE BOTTOM K MAT</t>
  </si>
  <si>
    <t>050E 30781</t>
  </si>
  <si>
    <t>TRAY MSI EXTENTION X MAT</t>
  </si>
  <si>
    <t>822E 05630</t>
  </si>
  <si>
    <t>COVER CST X MAT</t>
  </si>
  <si>
    <t>803E 19111</t>
  </si>
  <si>
    <t>HANDLE CST X MAT</t>
  </si>
  <si>
    <t>822E 05622</t>
  </si>
  <si>
    <t>HOUSING CASSETTE X MAT</t>
  </si>
  <si>
    <t>822E 05552</t>
  </si>
  <si>
    <t>HOUSING CASSETTE K MAT</t>
  </si>
  <si>
    <t>032E 44153</t>
  </si>
  <si>
    <t>GUIDE END X MAT</t>
  </si>
  <si>
    <t>032E 44143</t>
  </si>
  <si>
    <t>GUIDE END K  MAT</t>
  </si>
  <si>
    <t>059E 09871</t>
  </si>
  <si>
    <t>AUGER -CLN BELT</t>
  </si>
  <si>
    <t>AUGER-CLN XERO</t>
  </si>
  <si>
    <t>059E 09891</t>
  </si>
  <si>
    <t>AUGER-CLN XERO K</t>
  </si>
  <si>
    <t>032E 44212</t>
  </si>
  <si>
    <t>GUIDE SIDE R X MAT</t>
  </si>
  <si>
    <t>801E 31706</t>
  </si>
  <si>
    <t>FRAME D</t>
  </si>
  <si>
    <t>801E 31715</t>
  </si>
  <si>
    <t>FRAME AD</t>
  </si>
  <si>
    <t>013E 46130</t>
  </si>
  <si>
    <t>BEARING-DRV D P</t>
  </si>
  <si>
    <t>819E 00040</t>
  </si>
  <si>
    <t>HOLDER RETARD P</t>
  </si>
  <si>
    <t>050E 30851</t>
  </si>
  <si>
    <t>TRAY EXTENSION K MAT</t>
  </si>
  <si>
    <t>803E 12580</t>
  </si>
  <si>
    <t>HANDLE CST K MAT</t>
  </si>
  <si>
    <t>822E 05612</t>
  </si>
  <si>
    <t>COVER CST K MAT</t>
  </si>
  <si>
    <t>013E 40840</t>
  </si>
  <si>
    <t>BEARING-W</t>
  </si>
  <si>
    <t>807E 38460</t>
  </si>
  <si>
    <t>GEAR F 1</t>
  </si>
  <si>
    <t>807E 38681</t>
  </si>
  <si>
    <t>GEAR-W BOX</t>
  </si>
  <si>
    <t>807E 38692</t>
  </si>
  <si>
    <t>GEAR-DISP</t>
  </si>
  <si>
    <t>807E 38701</t>
  </si>
  <si>
    <t>GEAR-IDLER DISP</t>
  </si>
  <si>
    <t>807E 38721</t>
  </si>
  <si>
    <t>GEAR-XERO 1</t>
  </si>
  <si>
    <t>807E 38731</t>
  </si>
  <si>
    <t>GEAR-XERO 2</t>
  </si>
  <si>
    <t>807E 38770</t>
  </si>
  <si>
    <t>GEAR-AUGER</t>
  </si>
  <si>
    <t>230*450*275</t>
  </si>
  <si>
    <t>807E 38781</t>
  </si>
  <si>
    <t>GEAR-IDLER AUGER</t>
  </si>
  <si>
    <t>005E 94640</t>
  </si>
  <si>
    <t>COUPLING D</t>
  </si>
  <si>
    <t>038E 45710</t>
  </si>
  <si>
    <t>GUIDE PAPER TOOL 250</t>
  </si>
  <si>
    <t>038E 46360</t>
  </si>
  <si>
    <t>GUIDE-PAPER 250 MAT XC</t>
  </si>
  <si>
    <t>038E 45720</t>
  </si>
  <si>
    <t>GUIDE PAPER TOOL 550</t>
  </si>
  <si>
    <t>038E 46350</t>
  </si>
  <si>
    <t>GUIDE-PAPER 550 MAT XC</t>
  </si>
  <si>
    <t>807E 50740</t>
  </si>
  <si>
    <t>GEAR-HR</t>
  </si>
  <si>
    <t>250*400*315</t>
  </si>
  <si>
    <t>807E 50750</t>
  </si>
  <si>
    <t>GEAR-IDLER HR</t>
  </si>
  <si>
    <t>200*300*310</t>
  </si>
  <si>
    <t>822E 19260</t>
  </si>
  <si>
    <t>WINDOW-FULL</t>
  </si>
  <si>
    <t>807E 49860</t>
  </si>
  <si>
    <t>GEAR X1 L</t>
  </si>
  <si>
    <t>807E 49870</t>
  </si>
  <si>
    <t>GEAR  X2 L</t>
  </si>
  <si>
    <t>807E 49890</t>
  </si>
  <si>
    <t>GEAR D1 L</t>
  </si>
  <si>
    <t>807E 49910</t>
  </si>
  <si>
    <t>GEAR D3 L</t>
  </si>
  <si>
    <t>807E 49920</t>
  </si>
  <si>
    <t>GEAR D4 L</t>
  </si>
  <si>
    <t>807E 49930</t>
  </si>
  <si>
    <t>GEAR D5 L</t>
  </si>
  <si>
    <t>807E 49940</t>
  </si>
  <si>
    <t>GEAR DK1 L</t>
  </si>
  <si>
    <t>807E 49950</t>
  </si>
  <si>
    <t>GEAR DEVE OUT L</t>
  </si>
  <si>
    <t>807E 49960</t>
  </si>
  <si>
    <t>GEAR T1 L</t>
  </si>
  <si>
    <t>807E 49970</t>
  </si>
  <si>
    <t>GEAR T2 L</t>
  </si>
  <si>
    <t>807E 50900</t>
  </si>
  <si>
    <t>GEAR T3 Ｌ</t>
  </si>
  <si>
    <t>807E 49990</t>
  </si>
  <si>
    <t>GEAR F2 L</t>
  </si>
  <si>
    <t>807E 50000</t>
  </si>
  <si>
    <t>GEAR F3 L</t>
  </si>
  <si>
    <t>807E 48720</t>
  </si>
  <si>
    <t>GEAR EXIT 1</t>
  </si>
  <si>
    <t>807E 48770</t>
  </si>
  <si>
    <t>GEAR EXIT 2</t>
  </si>
  <si>
    <t>807E 48820</t>
  </si>
  <si>
    <t>GEAR EXIT 3</t>
  </si>
  <si>
    <t>807E 48860</t>
  </si>
  <si>
    <t>GEAR EXIT 4</t>
  </si>
  <si>
    <t>807E 48900</t>
  </si>
  <si>
    <t>GEAR EXIT 5</t>
  </si>
  <si>
    <t>807E 48940</t>
  </si>
  <si>
    <t>GEAR EXIT 6</t>
  </si>
  <si>
    <t>869E 13390</t>
  </si>
  <si>
    <t>BEARING CLT DEVE</t>
  </si>
  <si>
    <t>250*300*360</t>
  </si>
  <si>
    <t>807E 48980</t>
  </si>
  <si>
    <t>GEAR-IDLE EXIT 1</t>
  </si>
  <si>
    <t>807E 49030</t>
  </si>
  <si>
    <t>GEAR-IDLE EXIT 2</t>
  </si>
  <si>
    <t>059E 10210</t>
  </si>
  <si>
    <t xml:space="preserve">ROLL PB 250 550TOOL </t>
  </si>
  <si>
    <t>059E 12940</t>
  </si>
  <si>
    <t>ROLL-PB 250 550 MAT XC</t>
  </si>
  <si>
    <t>059E 10220</t>
  </si>
  <si>
    <t>ROLL CST250 550 TOOL</t>
  </si>
  <si>
    <t>059E 12950</t>
  </si>
  <si>
    <t>ROLL-CST 250 550 MAT XC</t>
  </si>
  <si>
    <t>807E 49730</t>
  </si>
  <si>
    <t>GEAR-REGI  OUT</t>
  </si>
  <si>
    <t>807E 49740</t>
  </si>
  <si>
    <t>GEAR-IDLE W1</t>
  </si>
  <si>
    <t>807E 49750</t>
  </si>
  <si>
    <t>GEAR-IDLE W2</t>
  </si>
  <si>
    <t>005E 37330</t>
  </si>
  <si>
    <t>COUPLING-WASTE</t>
  </si>
  <si>
    <t>060E 91910</t>
  </si>
  <si>
    <t>BOX WASTE L</t>
  </si>
  <si>
    <t>SUB-CON: ATLAS</t>
  </si>
  <si>
    <t>822E 19230</t>
  </si>
  <si>
    <t>COVER WASTE L</t>
  </si>
  <si>
    <t>807E 49900</t>
  </si>
  <si>
    <t>GEAR D2 IN L</t>
  </si>
  <si>
    <t>250*400*305</t>
  </si>
  <si>
    <t>014E 73050</t>
  </si>
  <si>
    <t>SPACER CIS, M</t>
  </si>
  <si>
    <t>807E 49260</t>
  </si>
  <si>
    <t>GEAR HERICAL, 53/23T</t>
  </si>
  <si>
    <t>200*250*280</t>
  </si>
  <si>
    <t>807E 49880</t>
  </si>
  <si>
    <t>GEAR XERO OUT L</t>
  </si>
  <si>
    <t>807E 49980</t>
  </si>
  <si>
    <t>GEAR T OUT L</t>
  </si>
  <si>
    <t>807E 50010</t>
  </si>
  <si>
    <t>GEAR F OUT L</t>
  </si>
  <si>
    <t>059E 10260</t>
  </si>
  <si>
    <t>ROLL OINCH</t>
  </si>
  <si>
    <t>807E 36961</t>
  </si>
  <si>
    <t>GEAR NUDGER T1</t>
  </si>
  <si>
    <t>807E 37051</t>
  </si>
  <si>
    <t>GEAR PB R</t>
  </si>
  <si>
    <t>200*300*260</t>
  </si>
  <si>
    <t>807E 37041</t>
  </si>
  <si>
    <t>GEAR PB L</t>
  </si>
  <si>
    <t>822E 18000</t>
  </si>
  <si>
    <t>COVER-PINCH</t>
  </si>
  <si>
    <t>807E 48440</t>
  </si>
  <si>
    <t>GEAR-PB L 250 550</t>
  </si>
  <si>
    <t>807E 48450</t>
  </si>
  <si>
    <t>GEAR-PB R 250 550</t>
  </si>
  <si>
    <t>806E 36971</t>
  </si>
  <si>
    <t>SHAFT - GEAR S</t>
  </si>
  <si>
    <t>SUPPLIED BY CUSTOMER</t>
  </si>
  <si>
    <t>806E 37051</t>
  </si>
  <si>
    <t>SHAFT - GEAR A</t>
  </si>
  <si>
    <t>005E 33130</t>
  </si>
  <si>
    <t>FLANGE - DRUM R</t>
  </si>
  <si>
    <t>826E 57590</t>
  </si>
  <si>
    <t>STUB IDLE 2</t>
  </si>
  <si>
    <t>826E 57600</t>
  </si>
  <si>
    <t>005E 33120</t>
  </si>
  <si>
    <t>FLANGE - DRUM L</t>
  </si>
  <si>
    <t>013E 40762</t>
  </si>
  <si>
    <t>BEARING - DRUM - R</t>
  </si>
  <si>
    <t>120E 34350</t>
  </si>
  <si>
    <t>ACTUATOR-NO PAPER TRAY</t>
  </si>
  <si>
    <t>803E 13001</t>
  </si>
  <si>
    <t>KEY-CTRG FX</t>
  </si>
  <si>
    <t>803E 17130</t>
  </si>
  <si>
    <t>KEY-CTRG NEC</t>
  </si>
  <si>
    <t>803E 13251</t>
  </si>
  <si>
    <t>KEY-CTRG XC</t>
  </si>
  <si>
    <t>803E 15750</t>
  </si>
  <si>
    <t>KEY-CTRG SEC JP</t>
  </si>
  <si>
    <t>803E 15760</t>
  </si>
  <si>
    <t>KEY-CTRG SEC SEC MN</t>
  </si>
  <si>
    <t>803E 13091</t>
  </si>
  <si>
    <t>HANDLE-CRU (MAT)</t>
  </si>
  <si>
    <t>807E 38451</t>
  </si>
  <si>
    <t>GEAR XERO 2</t>
  </si>
  <si>
    <t>807E 38441</t>
  </si>
  <si>
    <t>GEAR XERO 1</t>
  </si>
  <si>
    <t>807E 38480</t>
  </si>
  <si>
    <t>GEAR DUP OUT</t>
  </si>
  <si>
    <t>807E 38510</t>
  </si>
  <si>
    <t>GEAR PH2</t>
  </si>
  <si>
    <t>807E 38762</t>
  </si>
  <si>
    <t>GEAR-MAG</t>
  </si>
  <si>
    <t>807E 38840</t>
  </si>
  <si>
    <t>GEAR E3 Z</t>
  </si>
  <si>
    <t>848E 82891</t>
  </si>
  <si>
    <t>COVER-SHAFT MAG</t>
  </si>
  <si>
    <t>011E 28690</t>
  </si>
  <si>
    <t>LEVER-TRANS LH (MAT) V</t>
  </si>
  <si>
    <t>011E 28700</t>
  </si>
  <si>
    <t>LEVER-TRANS RH (MAT) V</t>
  </si>
  <si>
    <t>019E 83831</t>
  </si>
  <si>
    <t>HOLDER-END MSI</t>
  </si>
  <si>
    <t>013E 40751</t>
  </si>
  <si>
    <t>BEARING- DRUM L</t>
  </si>
  <si>
    <t>807E 38500</t>
  </si>
  <si>
    <t>GEAR PH 1</t>
  </si>
  <si>
    <t>807E 38520</t>
  </si>
  <si>
    <t>GEAR PH 3</t>
  </si>
  <si>
    <t xml:space="preserve"> 848E 93660</t>
  </si>
  <si>
    <t>COVER TRAY MATI</t>
  </si>
  <si>
    <t>807E 38802</t>
  </si>
  <si>
    <t>GEAR OUT PUT</t>
  </si>
  <si>
    <t>021E 14440</t>
  </si>
  <si>
    <t>CAP REGI</t>
  </si>
  <si>
    <t>848E 82853</t>
  </si>
  <si>
    <t>HOUSING UPPER DEVE</t>
  </si>
  <si>
    <t>807E 48330</t>
  </si>
  <si>
    <t>GEAR-Z36</t>
  </si>
  <si>
    <t>250*300*245</t>
  </si>
  <si>
    <t>005E 37180</t>
  </si>
  <si>
    <t>FLANGE-DRUM IN</t>
  </si>
  <si>
    <t>005E 37190</t>
  </si>
  <si>
    <t>FLANGE-DRUM OUT</t>
  </si>
  <si>
    <t>032E 44940</t>
  </si>
  <si>
    <t>GUIDE-CARTRIGE</t>
  </si>
  <si>
    <t>052E 50080</t>
  </si>
  <si>
    <t>PIPE-JOINT</t>
  </si>
  <si>
    <t>054E 56311</t>
  </si>
  <si>
    <t>CHUTE-XFER</t>
  </si>
  <si>
    <t>059E 09580</t>
  </si>
  <si>
    <t>AUGER-XERO</t>
  </si>
  <si>
    <t>059E 10121</t>
  </si>
  <si>
    <t>ROLL-TRACKING</t>
  </si>
  <si>
    <t>059E 10130</t>
  </si>
  <si>
    <t>AUGER-SUPPLY</t>
  </si>
  <si>
    <t>059E 10141</t>
  </si>
  <si>
    <t>AUGER-ADMIX</t>
  </si>
  <si>
    <t>822E 04280</t>
  </si>
  <si>
    <t>HOUSING-XERO</t>
  </si>
  <si>
    <t>FX221</t>
  </si>
  <si>
    <t>059E 10090</t>
  </si>
  <si>
    <t>AUGER-ADMIX,COH</t>
  </si>
  <si>
    <t>807E 48100</t>
  </si>
  <si>
    <t>GEAR-DISP,INPUT C</t>
  </si>
  <si>
    <t>807E 48120</t>
  </si>
  <si>
    <t>GEAR-IDLER,DISP W2-K</t>
  </si>
  <si>
    <t>807E 48130</t>
  </si>
  <si>
    <t>GEAR-IDLER,DISP S2-C</t>
  </si>
  <si>
    <t>807E 48140</t>
  </si>
  <si>
    <t>GEAR-IDLER,DISP S2-K</t>
  </si>
  <si>
    <t>807E 48150</t>
  </si>
  <si>
    <t>GEAR-CARTRIDGE,K</t>
  </si>
  <si>
    <t>807E 48030</t>
  </si>
  <si>
    <t>807E 48040</t>
  </si>
  <si>
    <t>GEAR-JOINT</t>
  </si>
  <si>
    <t>FX230</t>
  </si>
  <si>
    <t>822E 16301</t>
  </si>
  <si>
    <t>HOUSING-UPPER</t>
  </si>
  <si>
    <t>FX231</t>
  </si>
  <si>
    <t>822E 16291</t>
  </si>
  <si>
    <t>HOUSING -LOWER</t>
  </si>
  <si>
    <t>FX232</t>
  </si>
  <si>
    <t>019E 83561</t>
  </si>
  <si>
    <t>HOLDER-CLEAR, EX</t>
  </si>
  <si>
    <t>807E 48220</t>
  </si>
  <si>
    <t>GEAR-FEED</t>
  </si>
  <si>
    <t>807E 48230</t>
  </si>
  <si>
    <t>GEAR-FEED,IDLER</t>
  </si>
  <si>
    <t>200*240*300</t>
  </si>
  <si>
    <t>807E 48250</t>
  </si>
  <si>
    <t>GEAR-EXIT</t>
  </si>
  <si>
    <t>807E 48260</t>
  </si>
  <si>
    <t>GEAR-IDLER,EXIT</t>
  </si>
  <si>
    <t>807E 48270</t>
  </si>
  <si>
    <t>GEAR-PULLEY</t>
  </si>
  <si>
    <t>807E 48290</t>
  </si>
  <si>
    <t>GEAR-IDLER,FEED</t>
  </si>
  <si>
    <t>200x300x230</t>
  </si>
  <si>
    <t>807E 48301</t>
  </si>
  <si>
    <t>GEAR-CAM</t>
  </si>
  <si>
    <t>807E 48310</t>
  </si>
  <si>
    <t>GEAR-LOCK</t>
  </si>
  <si>
    <t>807E 50760</t>
  </si>
  <si>
    <t>GEAR-NUDGER</t>
  </si>
  <si>
    <t>807E 50910</t>
  </si>
  <si>
    <t>GEAR-IDLER,MOTOR</t>
  </si>
  <si>
    <t>807E 48160</t>
  </si>
  <si>
    <t>GEAR-ROLL,MAG</t>
  </si>
  <si>
    <t>807E 48170</t>
  </si>
  <si>
    <t>GEAR-IDLE</t>
  </si>
  <si>
    <t>807E 48180</t>
  </si>
  <si>
    <t>GEAR-AUGER,SUPPLY</t>
  </si>
  <si>
    <t>807E 48190</t>
  </si>
  <si>
    <t>GEAR-AUGER,ADMIX</t>
  </si>
  <si>
    <t>250*300*265</t>
  </si>
  <si>
    <t>807E 50570</t>
  </si>
  <si>
    <t>GEAR-16T</t>
  </si>
  <si>
    <t>807E 50590</t>
  </si>
  <si>
    <t>GEAR-15T</t>
  </si>
  <si>
    <t>807E 50580</t>
  </si>
  <si>
    <t>GEAR-14/13T</t>
  </si>
  <si>
    <t>807E 48200</t>
  </si>
  <si>
    <t>GEAR-20Z</t>
  </si>
  <si>
    <t>807E 48070</t>
  </si>
  <si>
    <t>GEAR-SEGMENT OCT</t>
  </si>
  <si>
    <t>300x300x310</t>
  </si>
  <si>
    <t>807E 48080</t>
  </si>
  <si>
    <t>GEAR-IDLER EXIT1</t>
  </si>
  <si>
    <t>200*300*270</t>
  </si>
  <si>
    <t>807E 48090</t>
  </si>
  <si>
    <t>GEAR-SAFETY EXIT1</t>
  </si>
  <si>
    <t>200x200x220</t>
  </si>
  <si>
    <t>807E 48320</t>
  </si>
  <si>
    <t>GEAR-Z35</t>
  </si>
  <si>
    <t>200*300*230</t>
  </si>
  <si>
    <t>807E 43990</t>
  </si>
  <si>
    <t>GEAR-IDLER XERO1</t>
  </si>
  <si>
    <t>807E 44000</t>
  </si>
  <si>
    <t>GEAR-IDLER XERO2</t>
  </si>
  <si>
    <t>807E 44010</t>
  </si>
  <si>
    <t>250x300x275</t>
  </si>
  <si>
    <t>807E 50420</t>
  </si>
  <si>
    <t>GEAR DEVE 70T COH</t>
  </si>
  <si>
    <t>807E 50430</t>
  </si>
  <si>
    <t>GEAR IDLE DEVE K COH</t>
  </si>
  <si>
    <t>807E 50440</t>
  </si>
  <si>
    <t>GEAR TA COH</t>
  </si>
  <si>
    <t>807E 50450</t>
  </si>
  <si>
    <t>GEAR DEVE CL 50T</t>
  </si>
  <si>
    <t>807E 50460</t>
  </si>
  <si>
    <t>GEAR MSI COH</t>
  </si>
  <si>
    <t>807E 50470</t>
  </si>
  <si>
    <t>GEAR Z15</t>
  </si>
  <si>
    <t>807E 50480</t>
  </si>
  <si>
    <t>GEAR MSI IDLE 1</t>
  </si>
  <si>
    <t>807E 50490</t>
  </si>
  <si>
    <t>GEAR MSI IDLE 2</t>
  </si>
  <si>
    <t>807E 50500</t>
  </si>
  <si>
    <t>GEAR DEVE CL OUT</t>
  </si>
  <si>
    <t>807E 50890</t>
  </si>
  <si>
    <t>GEAR MSI OUT COH</t>
  </si>
  <si>
    <t>807E 50620</t>
  </si>
  <si>
    <t>GEAR-HELICAL,40T</t>
  </si>
  <si>
    <t>807E 50630</t>
  </si>
  <si>
    <t>GEAR-HELICAL,46/44T</t>
  </si>
  <si>
    <t>807E 50640</t>
  </si>
  <si>
    <t>GEAR-HELICAL,48/20T</t>
  </si>
  <si>
    <t>807E 50650</t>
  </si>
  <si>
    <t>GEAR-HELICAL,22/30T</t>
  </si>
  <si>
    <t>250x300x260</t>
  </si>
  <si>
    <t>807E 50660</t>
  </si>
  <si>
    <t>GEAR-HELICAL,84/38T</t>
  </si>
  <si>
    <t>807E 50670</t>
  </si>
  <si>
    <t>GEAR-HELICAL,68T</t>
  </si>
  <si>
    <t>350x400x340</t>
  </si>
  <si>
    <t>807E 50680</t>
  </si>
  <si>
    <t>GEAR-HELICAL,25/49T</t>
  </si>
  <si>
    <t>300x350x290</t>
  </si>
  <si>
    <t>807E 50690</t>
  </si>
  <si>
    <t>GEAR-HELICAL,88T</t>
  </si>
  <si>
    <t>807E 50700</t>
  </si>
  <si>
    <t>GEAR-HELICAL,69/65T</t>
  </si>
  <si>
    <t>807E 50710</t>
  </si>
  <si>
    <t>GEAR-HELICAL,14T</t>
  </si>
  <si>
    <t>807E 50720</t>
  </si>
  <si>
    <t>GEAR-HELICAL,53T</t>
  </si>
  <si>
    <t>807E 50800</t>
  </si>
  <si>
    <t>GEAR-HELICAL,58T</t>
  </si>
  <si>
    <t>807E 50920</t>
  </si>
  <si>
    <t>GEAR-HELICAL,24T</t>
  </si>
  <si>
    <t>807E 48350</t>
  </si>
  <si>
    <t>GEAR-CTRG</t>
  </si>
  <si>
    <t>807E 48360</t>
  </si>
  <si>
    <t>GEAR-IDRLER,DISP 1</t>
  </si>
  <si>
    <t>807E 48370</t>
  </si>
  <si>
    <t>GEAR-IDRLER,DISP 2</t>
  </si>
  <si>
    <t>350*340*400</t>
  </si>
  <si>
    <t>807E 48380</t>
  </si>
  <si>
    <t>GEAR-IDRLER,DISP 3</t>
  </si>
  <si>
    <t>807E 48390</t>
  </si>
  <si>
    <t>GEAR-IDRLER,DISP 4</t>
  </si>
  <si>
    <t>807E 48400</t>
  </si>
  <si>
    <t>GEAR-IDRLER,DISP 5</t>
  </si>
  <si>
    <t>807E 48410</t>
  </si>
  <si>
    <t>GEAR-IDRLER,DISP 6</t>
  </si>
  <si>
    <t>807E 48420</t>
  </si>
  <si>
    <t>GEAR-AUGER1</t>
  </si>
  <si>
    <t>807E 48430</t>
  </si>
  <si>
    <t>GEAR-AUGER2</t>
  </si>
  <si>
    <t>807E 50610</t>
  </si>
  <si>
    <t>GEAR-HELICAL,124T</t>
  </si>
  <si>
    <t xml:space="preserve">SUPPLIER BY CUSTOMER </t>
  </si>
  <si>
    <t>803E 27170</t>
  </si>
  <si>
    <t>HANDLER-CRU-MN</t>
  </si>
  <si>
    <t xml:space="preserve">TPVN </t>
  </si>
  <si>
    <t>021E 12141</t>
  </si>
  <si>
    <t>CAP-SCREEN</t>
  </si>
  <si>
    <t>822E 16561</t>
  </si>
  <si>
    <t>COVER -  DEVE</t>
  </si>
  <si>
    <t>848E 82942</t>
  </si>
  <si>
    <t>HOUSING DISP DRIVE</t>
  </si>
  <si>
    <t>807E 38430</t>
  </si>
  <si>
    <t>GEAR XERO OUT</t>
  </si>
  <si>
    <t>807E 36841</t>
  </si>
  <si>
    <t>GEAR BTM DMP</t>
  </si>
  <si>
    <t>120E 34340</t>
  </si>
  <si>
    <t>ACTUATOR-NO PAPER TRAY M A</t>
  </si>
  <si>
    <t>005E 33141</t>
  </si>
  <si>
    <t>COUPLING-DRUM</t>
  </si>
  <si>
    <t>019E 83875</t>
  </si>
  <si>
    <t>HOLDER-CTRG SEG2</t>
  </si>
  <si>
    <t>011E 26608</t>
  </si>
  <si>
    <t>LEVER-CTRG SEG2</t>
  </si>
  <si>
    <t>011E 26839</t>
  </si>
  <si>
    <t>LEVER-CTRG SEG3</t>
  </si>
  <si>
    <t>807E 37031</t>
  </si>
  <si>
    <t>GEAR BTM LOCK</t>
  </si>
  <si>
    <t>014E 70421</t>
  </si>
  <si>
    <t>BLOCK-TR</t>
  </si>
  <si>
    <t>011E 27093</t>
  </si>
  <si>
    <t>LEVER LIFTER MSI</t>
  </si>
  <si>
    <t>013E 41000</t>
  </si>
  <si>
    <t>BEARING REGI EARTH ZA</t>
  </si>
  <si>
    <t>120E 33882</t>
  </si>
  <si>
    <t>ACTUATOR REGI</t>
  </si>
  <si>
    <t>807E 38490</t>
  </si>
  <si>
    <t>GEAR F OUT</t>
  </si>
  <si>
    <t>807E 38630</t>
  </si>
  <si>
    <t>GEAR FEED</t>
  </si>
  <si>
    <t>807E 38791</t>
  </si>
  <si>
    <t>GEAR-IDLER MOTOR</t>
  </si>
  <si>
    <t>822E 19240</t>
    <phoneticPr fontId="0"/>
  </si>
  <si>
    <t>COVER-FULL SNR</t>
  </si>
  <si>
    <t>822E00291</t>
  </si>
  <si>
    <t>HOUSING - LOWER DEVE</t>
  </si>
  <si>
    <t>822E03751</t>
  </si>
  <si>
    <t>COVER W; BOX LOW</t>
  </si>
  <si>
    <t>807E38322</t>
  </si>
  <si>
    <t>GEAR HR L</t>
  </si>
  <si>
    <t>822E00480</t>
  </si>
  <si>
    <t>HOUSING - XERO</t>
  </si>
  <si>
    <t>019E82150</t>
  </si>
  <si>
    <t>HOLDER SW SIZE</t>
  </si>
  <si>
    <t>038E41834</t>
  </si>
  <si>
    <t>GUIDE SIDE L 550 
MAT X</t>
  </si>
  <si>
    <t>012E 19271</t>
  </si>
  <si>
    <t>LINK-WASTE</t>
  </si>
  <si>
    <t>803E 24240</t>
  </si>
  <si>
    <t>HANDLE-CTRG S MAT K</t>
  </si>
  <si>
    <t>803E 24230</t>
  </si>
  <si>
    <t>HANDLE-CTRG,S MAT C</t>
  </si>
  <si>
    <t>803E 24220</t>
  </si>
  <si>
    <t>HANDLE-CTRG,S MAT M</t>
  </si>
  <si>
    <t>803E 24210</t>
  </si>
  <si>
    <t>HANDLE-CTRG,S MAT Y</t>
  </si>
  <si>
    <t>819E 00900</t>
  </si>
  <si>
    <t>HOLDER-FULL SNR</t>
  </si>
  <si>
    <t>093E 93701</t>
  </si>
  <si>
    <t>BOTTLE-CTRG, LOW Y KM2</t>
  </si>
  <si>
    <t>SUB-CON: TPJP</t>
  </si>
  <si>
    <t>093E 93531</t>
  </si>
  <si>
    <t>BOTTLE-CTRG,LOW K KM1</t>
  </si>
  <si>
    <t>093E 93511</t>
  </si>
  <si>
    <t>BOTTLE-CTRG,LOW M KM1</t>
  </si>
  <si>
    <t>093E 93501</t>
  </si>
  <si>
    <t>BOTTLE-CTRG,LOW Y KM1</t>
  </si>
  <si>
    <t>093E 93721</t>
  </si>
  <si>
    <t>BOTTLE-CTRG,LOW C KM2</t>
  </si>
  <si>
    <t>093E 93711</t>
  </si>
  <si>
    <t>BOTTLE-CTRG,LOW M KM2</t>
  </si>
  <si>
    <t>093E 93731</t>
  </si>
  <si>
    <t>BOTTLE-CTRG,LOW K KM2</t>
  </si>
  <si>
    <t>BOTTLE-CTRG,LOW Y KM2</t>
  </si>
  <si>
    <t>093E 04400</t>
  </si>
  <si>
    <t>BOTTLE-CTRG,LOW C XC</t>
  </si>
  <si>
    <t>093E 04390</t>
  </si>
  <si>
    <t>BOTTLE-CTRG,LOW M XC</t>
  </si>
  <si>
    <t>093E 04410</t>
  </si>
  <si>
    <t>BOTTLE-CTRG,LOW K XC</t>
  </si>
  <si>
    <t>093E 04380</t>
  </si>
  <si>
    <t>BOTTLE-CTRG,LOW Y XC</t>
  </si>
  <si>
    <t>093E 4460</t>
  </si>
  <si>
    <t xml:space="preserve">BOTTLE-CTRG,LOW C IBG </t>
  </si>
  <si>
    <t>093E 4430</t>
  </si>
  <si>
    <t xml:space="preserve">BOTTLE-CTRG,LOW M IBG </t>
  </si>
  <si>
    <t>806E 46440</t>
  </si>
  <si>
    <t>SHAFT-AGITATOR LOW</t>
  </si>
  <si>
    <t>803E 23220</t>
  </si>
  <si>
    <t>LATCH GUIDE 250 550</t>
  </si>
  <si>
    <t>807E 48470</t>
  </si>
  <si>
    <t>RACK BTM LOCK 250</t>
  </si>
  <si>
    <t>807E 48480</t>
  </si>
  <si>
    <t>RACK BTM LOCK 550</t>
  </si>
  <si>
    <t>803E 23230</t>
  </si>
  <si>
    <t>STOPPER DOWN 250 
MAT K</t>
  </si>
  <si>
    <t>803E 25490</t>
  </si>
  <si>
    <t>STOPPER-DOWN 250 MAT XC</t>
  </si>
  <si>
    <t>803E 23240</t>
  </si>
  <si>
    <t>STOPPER DOWN 550
 MAT K</t>
  </si>
  <si>
    <t>803E 25480</t>
  </si>
  <si>
    <t>STOPPER-DOWN 550 MAT XC</t>
  </si>
  <si>
    <t>803E 23991</t>
  </si>
  <si>
    <t>HANDLE-WASTE KM</t>
  </si>
  <si>
    <t>SUB-CON: TPCZ</t>
  </si>
  <si>
    <t>803E 23701</t>
  </si>
  <si>
    <t>HANDLE-WASTE XC</t>
  </si>
  <si>
    <t>007E 74871</t>
  </si>
  <si>
    <t xml:space="preserve">GEAR BTM LOCK PINION </t>
  </si>
  <si>
    <t>007E 75020</t>
  </si>
  <si>
    <t>869E 12901</t>
  </si>
  <si>
    <t>BRACKET -EXIT REVERSE D</t>
  </si>
  <si>
    <t>011E 25550</t>
  </si>
  <si>
    <t xml:space="preserve">LEVER BTM LOCK </t>
  </si>
  <si>
    <t>807E 36860</t>
  </si>
  <si>
    <t xml:space="preserve">GEAR IDLE DMP </t>
  </si>
  <si>
    <t>013E 45580</t>
    <phoneticPr fontId="0"/>
  </si>
  <si>
    <t>BEARING BCR WH</t>
  </si>
  <si>
    <t>013E 45590</t>
    <phoneticPr fontId="0"/>
  </si>
  <si>
    <t>BEARING BCR BLK</t>
  </si>
  <si>
    <t>807E 37900</t>
  </si>
  <si>
    <t xml:space="preserve">GEAR LEVER BTM LOCK </t>
  </si>
  <si>
    <t>819E 00881</t>
  </si>
  <si>
    <t>HOLDER-WASTE F</t>
  </si>
  <si>
    <t>819E 00891</t>
  </si>
  <si>
    <t>HOLDER-WASTE R</t>
  </si>
  <si>
    <t>120E 35510</t>
  </si>
  <si>
    <t>ACTUATOR LOCK PB 
250 550</t>
  </si>
  <si>
    <t>806E 45950</t>
  </si>
  <si>
    <t>SHAFT-RETARD CST</t>
  </si>
  <si>
    <t>007E 74860</t>
  </si>
  <si>
    <t>GEAR 40 BTM LOCK 550</t>
  </si>
  <si>
    <t>159E 10470</t>
  </si>
  <si>
    <t>AUGER-WTB</t>
  </si>
  <si>
    <t>013E 45740</t>
  </si>
  <si>
    <t>BEARING-WTB</t>
  </si>
  <si>
    <t>005E 37320</t>
  </si>
  <si>
    <t>COUPLING-WTB</t>
  </si>
  <si>
    <t>055E 64750</t>
  </si>
  <si>
    <t>SHUTTER-WTB</t>
  </si>
  <si>
    <t>869E 12871</t>
  </si>
  <si>
    <t>BRACKET -EXIT REVERSE AD</t>
  </si>
  <si>
    <t>019E 83281</t>
  </si>
  <si>
    <t xml:space="preserve">HOLDER DMP PB MAT K </t>
  </si>
  <si>
    <t>019E 83272</t>
  </si>
  <si>
    <t>HOLDER DMP PB MAT X</t>
  </si>
  <si>
    <t>021E 15280</t>
  </si>
  <si>
    <t>CAP-CTRG, S</t>
  </si>
  <si>
    <t xml:space="preserve">SUB-CON: TPJ </t>
  </si>
  <si>
    <t>021K 92280</t>
    <phoneticPr fontId="0"/>
  </si>
  <si>
    <t>CAP ASSY-CTRG S</t>
  </si>
  <si>
    <t>038E 45592</t>
  </si>
  <si>
    <t>GUIDE END 250 
MAT K</t>
  </si>
  <si>
    <t>038E 46371</t>
  </si>
  <si>
    <t>GUIDE-END 250 MAT XC</t>
  </si>
  <si>
    <t>038E 45630</t>
  </si>
  <si>
    <t>GUIDE SIDE L 250 MAT K</t>
  </si>
  <si>
    <t>038E 46320</t>
  </si>
  <si>
    <t>GUIDE-SIDE L 250 MAT XC</t>
  </si>
  <si>
    <t>803E 23141</t>
  </si>
  <si>
    <t>LEVER GUIDE 250 550　
MAT K</t>
  </si>
  <si>
    <t>803E 25511</t>
  </si>
  <si>
    <t>LEVER-GUIDE 250 550 MAT XC</t>
  </si>
  <si>
    <t>819E 01460</t>
  </si>
  <si>
    <t>HOLDER RETARD CST 
MAT K</t>
  </si>
  <si>
    <t>819E 02190</t>
  </si>
  <si>
    <t>HOLDER-RETARD CST MAT XC</t>
  </si>
  <si>
    <t>059E 10301</t>
  </si>
  <si>
    <t>AUGER CLNG XERO</t>
  </si>
  <si>
    <t>059E 10351</t>
  </si>
  <si>
    <t>AUGER-SUPPLY 16</t>
  </si>
  <si>
    <t>815E 95601</t>
  </si>
  <si>
    <t>PLATE SLOT SIZE MAT K</t>
  </si>
  <si>
    <t>815E 96841</t>
  </si>
  <si>
    <t>PLATE-SLOT SIZE MAT XC</t>
  </si>
  <si>
    <t>822E 18491</t>
  </si>
  <si>
    <t>COVER-SIDE AD 16</t>
  </si>
  <si>
    <t>011E 28400</t>
  </si>
  <si>
    <t>LEVER EXT END 250 
MAT K</t>
  </si>
  <si>
    <t>011E 29070</t>
  </si>
  <si>
    <t>LEVER-EXT END 250 MAT XC</t>
  </si>
  <si>
    <t>038E 45670</t>
  </si>
  <si>
    <t>GUIDE SIDE R 250 MAT K</t>
  </si>
  <si>
    <t>005E 94680</t>
  </si>
  <si>
    <t>COUPLING-CTRG</t>
  </si>
  <si>
    <t>055E 64781</t>
  </si>
  <si>
    <t>SHUTTER-CTRG</t>
  </si>
  <si>
    <t>011E 28410</t>
  </si>
  <si>
    <t>LEVER EXT END 550 
MAT K</t>
  </si>
  <si>
    <t>011E 29060</t>
  </si>
  <si>
    <t>LEVER-EXT END 550 MAT XC</t>
  </si>
  <si>
    <t>038E 45680</t>
  </si>
  <si>
    <t>GUIDE SIDE R 550 MAT K</t>
  </si>
  <si>
    <t>038E 46330</t>
  </si>
  <si>
    <t>GUIDE-SIDE R 550 MAT XC</t>
  </si>
  <si>
    <t>038E 45640</t>
  </si>
  <si>
    <t>GUIDE SIDE L 550 
MAT K</t>
  </si>
  <si>
    <t>038E 46310</t>
  </si>
  <si>
    <t>GUIDE-SIDE L 550 MAT XC</t>
  </si>
  <si>
    <t>059E 10321</t>
  </si>
  <si>
    <t>AUGER-ADMIX 16</t>
  </si>
  <si>
    <t>822E 18112</t>
  </si>
  <si>
    <t>HOUSING XERO CL</t>
  </si>
  <si>
    <t>822E 17573</t>
  </si>
  <si>
    <t>HOUSING-BASE 250 MAT K</t>
  </si>
  <si>
    <t>803E 23201</t>
  </si>
  <si>
    <t>HANDLE CST 250 K</t>
  </si>
  <si>
    <t>822E 17471</t>
  </si>
  <si>
    <t>HOUSING END 250 
MAT K</t>
  </si>
  <si>
    <t>822E 29671</t>
  </si>
  <si>
    <t>HOUSING-END 250 MAT XC</t>
  </si>
  <si>
    <t>822E 17481</t>
  </si>
  <si>
    <t>HOUSING END 550 
MAT K</t>
  </si>
  <si>
    <t>822E 29681</t>
  </si>
  <si>
    <t>HOUSING-END 550 MAT XC</t>
  </si>
  <si>
    <t>822E 18261</t>
  </si>
  <si>
    <t>HOUSING-DEVE UPPER 16</t>
  </si>
  <si>
    <t>822E 18462</t>
  </si>
  <si>
    <t>COVER-SIDE D 16</t>
  </si>
  <si>
    <t>300*450*425</t>
  </si>
  <si>
    <t>019E 60370</t>
  </si>
  <si>
    <t xml:space="preserve">HOLDER SPRING RETARD MSI </t>
  </si>
  <si>
    <t>807E  48491</t>
  </si>
  <si>
    <t>RACK-LIFT UP PB 250 MAT K</t>
  </si>
  <si>
    <t>807E 53181</t>
  </si>
  <si>
    <t>RACK-LIFT UP PB 250 MAT XC</t>
  </si>
  <si>
    <t>815E 92723</t>
  </si>
  <si>
    <t>PLATE-BOTTOM CST 250 MAT K</t>
  </si>
  <si>
    <t>815E 92733</t>
  </si>
  <si>
    <t>PLATE-BOTTOM CST 550  MAT K</t>
  </si>
  <si>
    <t>815E 96832</t>
  </si>
  <si>
    <t>PLATE-BOTTOM CST 250 MAT XC</t>
  </si>
  <si>
    <t>815E 92823</t>
  </si>
  <si>
    <t>PLATE-BOTTOM CST 550 MAT XC</t>
  </si>
  <si>
    <t>038E 45602</t>
  </si>
  <si>
    <t xml:space="preserve">GUIDE-END 550 OPT MAT K </t>
  </si>
  <si>
    <t>038E 46381</t>
  </si>
  <si>
    <t>GUIDE-END 550 OPT MAT XC</t>
  </si>
  <si>
    <t>807E 48501</t>
  </si>
  <si>
    <t>RACK-LIFT UP PB 550 MAT K</t>
  </si>
  <si>
    <t>807E 53171</t>
  </si>
  <si>
    <t>RACK-LIFT UP PB 550 MAT XC</t>
  </si>
  <si>
    <t>822E 17522</t>
  </si>
  <si>
    <t>COVER-BTM LOCK 250 MAT K</t>
  </si>
  <si>
    <t>822E 18142</t>
  </si>
  <si>
    <t>COVER SIDE K L</t>
  </si>
  <si>
    <t>822E 18152</t>
  </si>
  <si>
    <t>COVER SIDE C L</t>
  </si>
  <si>
    <t>822E 18162</t>
  </si>
  <si>
    <t>COVER SIDE M L</t>
  </si>
  <si>
    <t>822E 18172</t>
  </si>
  <si>
    <t>COVER SIDE Y L</t>
  </si>
  <si>
    <t>822E 17583</t>
  </si>
  <si>
    <t>HOUSING-BASE 550 MAT K</t>
  </si>
  <si>
    <t>822E 17532</t>
  </si>
  <si>
    <t>COVER-BTM LOCK 550 MAT K</t>
  </si>
  <si>
    <t>822E 29631</t>
  </si>
  <si>
    <t>COVER-BTM LOCK 550 MAT XC</t>
  </si>
  <si>
    <t>822E19235</t>
  </si>
  <si>
    <t>COVER - WASTE L</t>
  </si>
  <si>
    <t>822E 18296-1</t>
  </si>
  <si>
    <t>HOUSING-DEVE LOWER 16</t>
  </si>
  <si>
    <t xml:space="preserve">SUPPLIED BY CUSTOMER/ SUB-CON </t>
  </si>
  <si>
    <t>012E 19272</t>
  </si>
  <si>
    <t>SUPPLIED BY CUSTOMER/ SUB-CON : ATLAS</t>
  </si>
  <si>
    <t>AUGER ADMIX 16</t>
  </si>
  <si>
    <t>807E 48810</t>
  </si>
  <si>
    <t>807E 48730</t>
  </si>
  <si>
    <t>GEAR - EXIT 1</t>
  </si>
  <si>
    <t>807E 54890</t>
  </si>
  <si>
    <t>GEAR - EXIT OUT</t>
  </si>
  <si>
    <t>059E 10330</t>
  </si>
  <si>
    <t>AUGER - ADMIX MONO</t>
  </si>
  <si>
    <t>059E 10360</t>
  </si>
  <si>
    <t>AUGER - SUPPLY MONO</t>
  </si>
  <si>
    <t>807E 54900</t>
  </si>
  <si>
    <t>GEAR - HR, MID</t>
  </si>
  <si>
    <t>807E 54910</t>
  </si>
  <si>
    <t>GEAR - IDL, MID</t>
  </si>
  <si>
    <t>FX395</t>
  </si>
  <si>
    <t>021E 92280</t>
  </si>
  <si>
    <t>CAP - ASSY, CTRG, S</t>
  </si>
  <si>
    <t>FX396</t>
  </si>
  <si>
    <t>011E 29670</t>
  </si>
  <si>
    <t>LEVER CTRG SEG2 SEC</t>
  </si>
  <si>
    <t>FX397</t>
  </si>
  <si>
    <t>011E 29680</t>
  </si>
  <si>
    <t>LEVER CTRG SEG3 SEC</t>
  </si>
  <si>
    <t>VWD0461300</t>
  </si>
  <si>
    <t>ND13-3 DIGIT TOTAL PINION</t>
  </si>
  <si>
    <t>VWD0466300</t>
  </si>
  <si>
    <t>STOP SCREW</t>
  </si>
  <si>
    <t>VWD1465500</t>
  </si>
  <si>
    <t>ND20 HOLDING PLATE</t>
  </si>
  <si>
    <t>VWD0465700</t>
  </si>
  <si>
    <t>WORM</t>
  </si>
  <si>
    <t>VWD0464700</t>
  </si>
  <si>
    <t>COLOUR</t>
  </si>
  <si>
    <t>VWD0461120</t>
  </si>
  <si>
    <t xml:space="preserve">WORM WHEEL </t>
  </si>
  <si>
    <t>VWD1461220</t>
  </si>
  <si>
    <t>TRANSFER PINION (LONG)</t>
  </si>
  <si>
    <t>W781-S0005-S2</t>
  </si>
  <si>
    <t>INNERCASE ASSY-S2</t>
  </si>
  <si>
    <t>VWD1462300</t>
  </si>
  <si>
    <t>ND20 SHIELD PLATE</t>
  </si>
  <si>
    <t>VWD0461410</t>
  </si>
  <si>
    <t>ND20 GENTAI WHEEL</t>
  </si>
  <si>
    <t>VWD0461510</t>
  </si>
  <si>
    <t>VWD0461610</t>
  </si>
  <si>
    <t>VWD1462610A</t>
  </si>
  <si>
    <t>ND20 WINDOW PLATE</t>
  </si>
  <si>
    <t>JWD1468830</t>
  </si>
  <si>
    <t>J2000000050</t>
  </si>
  <si>
    <t>REGISTER ASSEMBLY</t>
  </si>
  <si>
    <t>ND13 Shield Plate</t>
  </si>
  <si>
    <t>VWD1461410</t>
  </si>
  <si>
    <t>ND13 GEBTAI WHEEL 1 BLANK</t>
  </si>
  <si>
    <t>VWD1461510</t>
  </si>
  <si>
    <t>ND13 GENTAI WHEEL 2 BLANK</t>
  </si>
  <si>
    <t>VWD1461610</t>
  </si>
  <si>
    <t>ND13 GENTAI WHEEL 3 BLANK</t>
  </si>
  <si>
    <t>YU022</t>
  </si>
  <si>
    <t>4PGVG102</t>
  </si>
  <si>
    <t>PULLEY GEAR</t>
  </si>
  <si>
    <t>4PGVG103</t>
  </si>
  <si>
    <t>GEAR A</t>
  </si>
  <si>
    <t>4PGVG104</t>
  </si>
  <si>
    <t>GEAR B</t>
  </si>
  <si>
    <t>KL616G105</t>
  </si>
  <si>
    <t>GEAR C</t>
  </si>
  <si>
    <t>4PGVG106</t>
  </si>
  <si>
    <t>GEAR D</t>
  </si>
  <si>
    <t>4PGVG107</t>
  </si>
  <si>
    <t>GEAR E</t>
  </si>
  <si>
    <t>4PGWF101</t>
  </si>
  <si>
    <t>Focus Moving Frame</t>
  </si>
  <si>
    <t xml:space="preserve">SUPPLIED BY CUSTOMER </t>
  </si>
  <si>
    <t>4PGWM201</t>
  </si>
  <si>
    <t>Protection Ring</t>
  </si>
  <si>
    <t>4PGWD105</t>
  </si>
  <si>
    <t>Make Up Ring</t>
  </si>
  <si>
    <t>4PGWFM401</t>
  </si>
  <si>
    <t>Bayonet fixed ring</t>
  </si>
  <si>
    <t>4PGWD101</t>
  </si>
  <si>
    <t>Filter Frame</t>
  </si>
  <si>
    <t>4PGWD102</t>
  </si>
  <si>
    <t>Make Up Frame</t>
  </si>
  <si>
    <t>4PGWD103</t>
  </si>
  <si>
    <t>4PGWS100</t>
  </si>
  <si>
    <t>1st Lens Frame</t>
  </si>
  <si>
    <t>4PGWS400</t>
  </si>
  <si>
    <t>4th Lens Frame</t>
  </si>
  <si>
    <t>4PGWD201</t>
  </si>
  <si>
    <t>Outside Pipe</t>
  </si>
  <si>
    <t>250*240*400</t>
  </si>
  <si>
    <t>4PGWF111</t>
  </si>
  <si>
    <t>Lead ring</t>
  </si>
  <si>
    <t>350*290*550</t>
  </si>
  <si>
    <t>4PGWM115</t>
  </si>
  <si>
    <t>Byonet Ring</t>
  </si>
  <si>
    <t>380*310*550</t>
  </si>
  <si>
    <t>4PGWV123</t>
  </si>
  <si>
    <t>4th Frame Adjust Ring A</t>
  </si>
  <si>
    <t>250*205*300</t>
  </si>
  <si>
    <t>4PGWV124</t>
  </si>
  <si>
    <t>4th Frame Adjust Ring B</t>
  </si>
  <si>
    <t>4PGWG201</t>
  </si>
  <si>
    <t>Housing</t>
  </si>
  <si>
    <t>4PGXD701</t>
  </si>
  <si>
    <t>HOOD</t>
  </si>
  <si>
    <t>4PGXD702</t>
  </si>
  <si>
    <t>HOOD COVER</t>
  </si>
  <si>
    <t>4PGXF804</t>
  </si>
  <si>
    <t>SWITCH COVER</t>
  </si>
  <si>
    <t>4PG6B201</t>
  </si>
  <si>
    <t>Opening and closing ring</t>
  </si>
  <si>
    <t>500*325*350</t>
  </si>
  <si>
    <t>APG6D103</t>
  </si>
  <si>
    <t xml:space="preserve">Make up plate </t>
  </si>
  <si>
    <t>4PG6F701</t>
  </si>
  <si>
    <t>Focus Level A</t>
  </si>
  <si>
    <t>4PG6B301</t>
  </si>
  <si>
    <t>Support Ring</t>
  </si>
  <si>
    <t>4PG6V111</t>
  </si>
  <si>
    <t xml:space="preserve">Fix ring </t>
  </si>
  <si>
    <t>4PG6V122</t>
  </si>
  <si>
    <t xml:space="preserve">2ND Frame Moving Ring </t>
  </si>
  <si>
    <t>4PG6S204</t>
  </si>
  <si>
    <t>4th Lens Retainer Ring</t>
  </si>
  <si>
    <t>4PG6D201</t>
  </si>
  <si>
    <t>Out side pipe</t>
  </si>
  <si>
    <t>550*385*400</t>
  </si>
  <si>
    <t>4PG6M202</t>
  </si>
  <si>
    <t>550*315*400</t>
  </si>
  <si>
    <t>4PG6S400</t>
  </si>
  <si>
    <t>4PG6S200</t>
  </si>
  <si>
    <t>2NG Lens Frame</t>
  </si>
  <si>
    <t>4PG6F101</t>
  </si>
  <si>
    <t>FOCUS MOVING RING</t>
  </si>
  <si>
    <t>4PG6F103</t>
  </si>
  <si>
    <t>FOCUS ROLLING RING</t>
  </si>
  <si>
    <t>4PG6S100</t>
  </si>
  <si>
    <t>4PG6S300</t>
  </si>
  <si>
    <t>3ND LENS FRAME</t>
  </si>
  <si>
    <t>4PG6V124</t>
  </si>
  <si>
    <t xml:space="preserve">3RD FRAME MOVING RING </t>
  </si>
  <si>
    <t>RC033</t>
  </si>
  <si>
    <t>4PHCF104</t>
  </si>
  <si>
    <t xml:space="preserve">FOCUS FIXED RING </t>
  </si>
  <si>
    <t>550*350*360</t>
  </si>
  <si>
    <t>RC034</t>
  </si>
  <si>
    <t>4PHCS100</t>
  </si>
  <si>
    <t>1ST LENS FRAME</t>
  </si>
  <si>
    <t>250*315*400</t>
  </si>
  <si>
    <t>RC035</t>
  </si>
  <si>
    <t>4PHCS199</t>
  </si>
  <si>
    <t>1ST LENS FRAME ADJUSTING</t>
  </si>
  <si>
    <t>215*230*350</t>
  </si>
  <si>
    <t>RC036</t>
  </si>
  <si>
    <t>4PHCS400</t>
  </si>
  <si>
    <t xml:space="preserve">4TH LENS FRAME </t>
  </si>
  <si>
    <t>250*290*400</t>
  </si>
  <si>
    <t>RC037</t>
  </si>
  <si>
    <t>4PHCS499</t>
  </si>
  <si>
    <t>ECCENTRIC CAM</t>
  </si>
  <si>
    <t>230*215*350</t>
  </si>
  <si>
    <t>RC040</t>
  </si>
  <si>
    <t>4PHCD105</t>
  </si>
  <si>
    <t>MAKE UP RING</t>
  </si>
  <si>
    <t>270*250*400</t>
  </si>
  <si>
    <t>RC041</t>
  </si>
  <si>
    <t>4PHCD201</t>
  </si>
  <si>
    <t>OUTSIDE PIPE</t>
  </si>
  <si>
    <t>320*335*550</t>
  </si>
  <si>
    <t>RC042</t>
  </si>
  <si>
    <t>4PHCD211</t>
  </si>
  <si>
    <t>NAME RING</t>
  </si>
  <si>
    <t>400*300*260</t>
  </si>
  <si>
    <t>RC043</t>
  </si>
  <si>
    <t>4PHCD902</t>
  </si>
  <si>
    <t>LIGHT INTERRUPTING PLATE B</t>
  </si>
  <si>
    <t>250*210*300</t>
  </si>
  <si>
    <t>RC044</t>
  </si>
  <si>
    <t>4PHCF132</t>
  </si>
  <si>
    <t>DISTANCE OPERATING RING</t>
  </si>
  <si>
    <t>350*280*550</t>
  </si>
  <si>
    <t>RC045</t>
  </si>
  <si>
    <t>4PHCM201</t>
  </si>
  <si>
    <t>PROTECTION RING</t>
  </si>
  <si>
    <t>RC046</t>
  </si>
  <si>
    <t>4PHCM292</t>
  </si>
  <si>
    <t>CONTACT HOLDER</t>
  </si>
  <si>
    <t>350*255*500</t>
  </si>
  <si>
    <t>RC047</t>
  </si>
  <si>
    <t>4PHCM401</t>
  </si>
  <si>
    <t>BAYONET FIXED RING</t>
  </si>
  <si>
    <t>SLIDER + CYLINDER</t>
  </si>
  <si>
    <t>415*350*550</t>
  </si>
  <si>
    <t>RC051</t>
  </si>
  <si>
    <t>4PHCV124</t>
  </si>
  <si>
    <t>FIXED RING C</t>
  </si>
  <si>
    <t>230*235*350</t>
  </si>
  <si>
    <t>G50-1017</t>
  </si>
  <si>
    <t>ADF HELICAL GEAR</t>
  </si>
  <si>
    <t>FE8-3479-000</t>
  </si>
  <si>
    <t>SPACER - CIS</t>
  </si>
  <si>
    <t>FE8-3484-000</t>
  </si>
  <si>
    <t>CIS-ELEVATE</t>
  </si>
  <si>
    <t>FE8-3488-000</t>
  </si>
  <si>
    <t>TRANSIT-CABLE-GUIDE 2</t>
  </si>
  <si>
    <t>FE8-3648-000</t>
  </si>
  <si>
    <t xml:space="preserve">STOPPER-SEPARATION </t>
  </si>
  <si>
    <t>PU2-1867-000</t>
  </si>
  <si>
    <t>GEAR-Z67</t>
  </si>
  <si>
    <t>PU2-1900-000</t>
  </si>
  <si>
    <t>GEAR-Z23BP</t>
  </si>
  <si>
    <t>PU2-1921-000</t>
  </si>
  <si>
    <t>GEAR-PULLEY-Z85-20</t>
  </si>
  <si>
    <t>3A - MP66654</t>
  </si>
  <si>
    <t>WATER SUPPORT</t>
  </si>
  <si>
    <t>TLM1989-B/VI-QA</t>
  </si>
  <si>
    <t>ENCLOSURE TOP</t>
  </si>
  <si>
    <t>TLM1990-C/V1-QA</t>
  </si>
  <si>
    <t>ENCLOSURE BOTTOM</t>
  </si>
  <si>
    <t>SD019</t>
  </si>
  <si>
    <t>TS</t>
  </si>
  <si>
    <t>UISA</t>
  </si>
  <si>
    <t>807E-45321</t>
  </si>
  <si>
    <t>FX400</t>
  </si>
  <si>
    <t>FX402</t>
  </si>
  <si>
    <t>FX404</t>
  </si>
  <si>
    <t>FX407</t>
  </si>
  <si>
    <t>FX410</t>
  </si>
  <si>
    <t>005E-36822</t>
  </si>
  <si>
    <t>019E-89360</t>
  </si>
  <si>
    <t>807E-19970</t>
  </si>
  <si>
    <t>807E-32700</t>
  </si>
  <si>
    <t>807E-43780</t>
  </si>
  <si>
    <t>807E-43791</t>
  </si>
  <si>
    <t>807E-45211</t>
  </si>
  <si>
    <t>807E-45261</t>
  </si>
  <si>
    <t>807E-45280</t>
  </si>
  <si>
    <t>807E-45290</t>
  </si>
  <si>
    <t>807E-45331</t>
  </si>
  <si>
    <t>807E-45351</t>
  </si>
  <si>
    <t>807E-45361</t>
  </si>
  <si>
    <t>807E-45371</t>
  </si>
  <si>
    <t>807E-45381</t>
  </si>
  <si>
    <t>807E-45401</t>
  </si>
  <si>
    <t>807E-45430</t>
  </si>
  <si>
    <t>807E-47760</t>
  </si>
  <si>
    <t>507E-52120</t>
  </si>
  <si>
    <t>4A-CS6625413</t>
  </si>
  <si>
    <t>CN158</t>
  </si>
  <si>
    <t>CN163</t>
  </si>
  <si>
    <t>021E92280</t>
  </si>
  <si>
    <t>PU0107CP20</t>
  </si>
  <si>
    <t>869E12880</t>
  </si>
  <si>
    <t>FX462</t>
  </si>
  <si>
    <t>020E52770</t>
  </si>
  <si>
    <t>012E19242</t>
  </si>
  <si>
    <t>BF02069951</t>
  </si>
  <si>
    <t>BF02069721</t>
  </si>
  <si>
    <t>BF02069891</t>
  </si>
  <si>
    <t>822E04302</t>
  </si>
  <si>
    <t>822E10544</t>
  </si>
  <si>
    <t>BR027</t>
  </si>
  <si>
    <t>LY4282</t>
  </si>
  <si>
    <t>FX466</t>
  </si>
  <si>
    <t>803E-24401</t>
  </si>
  <si>
    <t>822E22652</t>
  </si>
  <si>
    <t>013E47080</t>
  </si>
  <si>
    <t>CN182</t>
  </si>
  <si>
    <t>RU1-0700-000</t>
  </si>
  <si>
    <t>FX178-1</t>
  </si>
  <si>
    <t>059E 13510</t>
  </si>
  <si>
    <t>CN181</t>
  </si>
  <si>
    <t>CN180</t>
  </si>
  <si>
    <t>CN178</t>
  </si>
  <si>
    <t>RU10699000</t>
  </si>
  <si>
    <t>RU10697000</t>
  </si>
  <si>
    <t>RC5-4266</t>
  </si>
  <si>
    <t>FX497</t>
  </si>
  <si>
    <t>FX398</t>
  </si>
  <si>
    <t>807E 43860</t>
  </si>
  <si>
    <t>822E 16411</t>
  </si>
  <si>
    <t>FX420</t>
  </si>
  <si>
    <t>FX482</t>
  </si>
  <si>
    <t>FX480</t>
  </si>
  <si>
    <t>FX448</t>
  </si>
  <si>
    <t>FX423</t>
  </si>
  <si>
    <t>FX441</t>
  </si>
  <si>
    <t>FX454</t>
  </si>
  <si>
    <t>FX498</t>
  </si>
  <si>
    <t>FX429</t>
  </si>
  <si>
    <t>FX471</t>
  </si>
  <si>
    <t>CN179</t>
  </si>
  <si>
    <t>FX455</t>
  </si>
  <si>
    <t>FX444</t>
  </si>
  <si>
    <t>FX467</t>
  </si>
  <si>
    <t>FX439</t>
  </si>
  <si>
    <t>FX483</t>
  </si>
  <si>
    <t>FX435</t>
  </si>
  <si>
    <t>CODE</t>
  </si>
  <si>
    <t>NAME M/C</t>
  </si>
  <si>
    <t>MC01</t>
  </si>
  <si>
    <t>MC02</t>
  </si>
  <si>
    <t>MC03</t>
  </si>
  <si>
    <t>MC04</t>
  </si>
  <si>
    <t>MC05</t>
  </si>
  <si>
    <t>MC06</t>
  </si>
  <si>
    <t>MC07</t>
  </si>
  <si>
    <t>MC08</t>
  </si>
  <si>
    <t>MC09</t>
  </si>
  <si>
    <t>MC10</t>
  </si>
  <si>
    <t>MC11</t>
  </si>
  <si>
    <t>MC12</t>
  </si>
  <si>
    <t>MC13</t>
  </si>
  <si>
    <t>MC14</t>
  </si>
  <si>
    <t>MC15</t>
  </si>
  <si>
    <t>MEASURING</t>
  </si>
  <si>
    <t>MOLD DESIGN</t>
  </si>
  <si>
    <t>MC16</t>
  </si>
  <si>
    <t>MC17</t>
  </si>
  <si>
    <t>MC18</t>
  </si>
  <si>
    <t>MC19</t>
  </si>
  <si>
    <t>MC20</t>
  </si>
  <si>
    <t>POLISHING</t>
  </si>
  <si>
    <t>CAM NX01</t>
  </si>
  <si>
    <t>CAM NX02</t>
  </si>
  <si>
    <t>MC21</t>
  </si>
  <si>
    <t xml:space="preserve">MACHINE: </t>
  </si>
  <si>
    <t>FX465</t>
  </si>
  <si>
    <t>FX496</t>
  </si>
  <si>
    <t>FX495</t>
  </si>
  <si>
    <t>FX227</t>
  </si>
  <si>
    <t>FX450</t>
  </si>
  <si>
    <t>FX484</t>
  </si>
  <si>
    <t>FX440</t>
  </si>
  <si>
    <t>FX494</t>
  </si>
  <si>
    <t>013E 45010</t>
  </si>
  <si>
    <t>869E 12861</t>
  </si>
  <si>
    <t>054E 54281</t>
  </si>
  <si>
    <t>RU1 0681-000</t>
  </si>
  <si>
    <t>021E 15230</t>
  </si>
  <si>
    <t>054E 55261</t>
  </si>
  <si>
    <t>801E 33690</t>
  </si>
  <si>
    <t>014E 73021</t>
  </si>
  <si>
    <t>013E 48020</t>
  </si>
  <si>
    <t>807E 43770</t>
  </si>
  <si>
    <t>059E 09750</t>
  </si>
  <si>
    <t>021K 92290</t>
  </si>
  <si>
    <t>021K 92260</t>
  </si>
  <si>
    <t>019E 86463</t>
  </si>
  <si>
    <t>059E 10071</t>
  </si>
  <si>
    <t>822E 03812</t>
  </si>
  <si>
    <t>822E 08501</t>
  </si>
  <si>
    <t>059E 09770</t>
  </si>
  <si>
    <t>807E 45394</t>
  </si>
  <si>
    <t>822E 40243</t>
  </si>
  <si>
    <t>055E 64420</t>
  </si>
  <si>
    <t>059E 09551</t>
  </si>
  <si>
    <t>869E 12910</t>
  </si>
  <si>
    <t>869E 12891</t>
  </si>
  <si>
    <t>013E 47070</t>
  </si>
  <si>
    <t>TOTAL TIME
(H)</t>
  </si>
  <si>
    <t>MOLD INDEX</t>
  </si>
  <si>
    <t>FX430</t>
  </si>
  <si>
    <t>FX453</t>
  </si>
  <si>
    <t>059E 13390</t>
  </si>
  <si>
    <t>FX449</t>
  </si>
  <si>
    <t>807E 45411</t>
  </si>
  <si>
    <t>052E 49900</t>
  </si>
  <si>
    <t>FX424</t>
  </si>
  <si>
    <t>005E 36471</t>
  </si>
  <si>
    <t>822E 08512</t>
  </si>
  <si>
    <t>FX421</t>
  </si>
  <si>
    <t>TPV01</t>
  </si>
  <si>
    <t>O.H + ASSY MOLD</t>
  </si>
  <si>
    <t>807E 58330</t>
  </si>
  <si>
    <t>FX499</t>
  </si>
  <si>
    <t>MC22</t>
  </si>
  <si>
    <t>MC23</t>
  </si>
  <si>
    <t>CAM NX09</t>
  </si>
  <si>
    <t>CAM NX10</t>
  </si>
  <si>
    <t>TP115</t>
  </si>
  <si>
    <t>TP114</t>
  </si>
  <si>
    <t>TP118</t>
  </si>
  <si>
    <t>TP121</t>
  </si>
  <si>
    <t>TP129</t>
  </si>
  <si>
    <t>TP128</t>
  </si>
  <si>
    <t>W79X-PAB015</t>
  </si>
  <si>
    <t>W79X-PAB013</t>
  </si>
  <si>
    <t>TP117</t>
  </si>
  <si>
    <t>W790-PAB004</t>
  </si>
  <si>
    <t>W791-PAB004</t>
  </si>
  <si>
    <t>W79X-ASB003</t>
  </si>
  <si>
    <t>MC24</t>
  </si>
  <si>
    <t>GRINDING (MITSUI)</t>
  </si>
  <si>
    <t>FX504</t>
  </si>
  <si>
    <t>CN184</t>
  </si>
  <si>
    <t>RU90280</t>
  </si>
  <si>
    <t>021K92290</t>
  </si>
  <si>
    <t>CN186</t>
  </si>
  <si>
    <t>FX512</t>
  </si>
  <si>
    <t>CN185</t>
  </si>
  <si>
    <t>RC54945</t>
  </si>
  <si>
    <t>826E-30021</t>
  </si>
  <si>
    <t>RU9-0279</t>
  </si>
  <si>
    <t>CN189</t>
  </si>
  <si>
    <t>CN188</t>
  </si>
  <si>
    <t>CN183</t>
  </si>
  <si>
    <t>CN187</t>
  </si>
  <si>
    <t>TT078</t>
  </si>
  <si>
    <t>TP125</t>
  </si>
  <si>
    <t>TP126</t>
  </si>
  <si>
    <t>RC4-3734</t>
  </si>
  <si>
    <t>TP116</t>
  </si>
  <si>
    <t>RU5-0980</t>
  </si>
  <si>
    <t>RC2-1048</t>
  </si>
  <si>
    <r>
      <rPr>
        <sz val="11"/>
        <color indexed="10"/>
        <rFont val="Times New Roman"/>
        <family val="1"/>
      </rPr>
      <t>302M331030</t>
    </r>
    <r>
      <rPr>
        <sz val="11"/>
        <rFont val="Times New Roman"/>
        <family val="1"/>
      </rPr>
      <t xml:space="preserve"> - 3V2M518830</t>
    </r>
  </si>
  <si>
    <t>TP119</t>
  </si>
  <si>
    <t>TP120</t>
  </si>
  <si>
    <t>TP122</t>
  </si>
  <si>
    <t>TP123</t>
  </si>
  <si>
    <t>TP124</t>
  </si>
  <si>
    <t>TP127</t>
  </si>
  <si>
    <t>W78X-P0003</t>
  </si>
  <si>
    <t>W790-PAB005</t>
  </si>
  <si>
    <t>W790-PAB006</t>
  </si>
  <si>
    <t>W791-PAB005</t>
  </si>
  <si>
    <t>W791-PAB006</t>
  </si>
  <si>
    <t>W79X-PAB007</t>
  </si>
  <si>
    <t>W79X-PAB003</t>
  </si>
  <si>
    <t>W79X-PAB009</t>
  </si>
  <si>
    <t>W79X-PAB010</t>
  </si>
  <si>
    <t>FX422</t>
  </si>
  <si>
    <t>FX476</t>
  </si>
  <si>
    <t>FX428</t>
  </si>
  <si>
    <t>W781-S0006</t>
  </si>
  <si>
    <t>TT079</t>
  </si>
  <si>
    <t>97D98 N82</t>
  </si>
  <si>
    <t>019E 86452</t>
  </si>
  <si>
    <t>801E 28861</t>
  </si>
  <si>
    <t>822E 18034-1</t>
  </si>
  <si>
    <t>RU9-0703</t>
  </si>
  <si>
    <t>97D94</t>
  </si>
  <si>
    <t>HF9A 116</t>
  </si>
  <si>
    <t>CN162</t>
  </si>
  <si>
    <t>RC4-7849</t>
  </si>
  <si>
    <t>FX485</t>
  </si>
  <si>
    <t>FX479</t>
  </si>
  <si>
    <t>FX437</t>
  </si>
  <si>
    <t>FX501</t>
  </si>
  <si>
    <t>FX461</t>
  </si>
  <si>
    <t>FX486</t>
  </si>
  <si>
    <t>FX452</t>
  </si>
  <si>
    <t>FX433</t>
  </si>
  <si>
    <t>FX443</t>
  </si>
  <si>
    <t>822E-18501</t>
  </si>
  <si>
    <t>005E-64232</t>
  </si>
  <si>
    <t>059E-09841</t>
  </si>
  <si>
    <t>869E-14380</t>
  </si>
  <si>
    <t>822E-38335-1</t>
  </si>
  <si>
    <t>822E-35000</t>
  </si>
  <si>
    <t>052E-49981</t>
  </si>
  <si>
    <t>822E-40252</t>
  </si>
  <si>
    <t>RU9-0702</t>
  </si>
  <si>
    <t>FE8-3032-000</t>
  </si>
  <si>
    <t>801E-28883</t>
  </si>
  <si>
    <t xml:space="preserve">SLIDER INSERT </t>
  </si>
  <si>
    <t>FIXING INSERT</t>
  </si>
  <si>
    <t>FIXING CAVITY</t>
  </si>
  <si>
    <t>MOVING CAVITY</t>
  </si>
  <si>
    <t>SLIDER INSERT S4</t>
  </si>
  <si>
    <t>INSERT</t>
  </si>
  <si>
    <t>SLIDER INSERT</t>
  </si>
  <si>
    <t>FIXING CAVITY F1</t>
  </si>
  <si>
    <t>MOVING INSERT</t>
  </si>
  <si>
    <t>MOVING CAVITY K1</t>
  </si>
  <si>
    <t>MOVING PIN P1</t>
  </si>
  <si>
    <t>QUYEN</t>
  </si>
  <si>
    <t>RUNNER PLATE</t>
  </si>
  <si>
    <t>EROWA</t>
  </si>
  <si>
    <t>THUY</t>
  </si>
  <si>
    <t>MASTER GEAR</t>
  </si>
  <si>
    <t>FIXING CORE C1</t>
  </si>
  <si>
    <t>TP133</t>
  </si>
  <si>
    <t>FX510</t>
  </si>
  <si>
    <t>GIANG + MAI</t>
  </si>
  <si>
    <t xml:space="preserve">FIX SIDE INSERT </t>
  </si>
  <si>
    <t>OANH</t>
  </si>
  <si>
    <t>TUNG</t>
  </si>
  <si>
    <t>FIXING PIN H1</t>
  </si>
  <si>
    <t>NHUNG</t>
  </si>
  <si>
    <t>MOVING CENTER PIN</t>
  </si>
  <si>
    <t>MOVING PIN</t>
  </si>
  <si>
    <t>FX500</t>
  </si>
  <si>
    <t>SPRUE BUSH</t>
  </si>
  <si>
    <t>059E009831</t>
  </si>
  <si>
    <t>CORE PLATE</t>
  </si>
  <si>
    <t>JIG MOLD</t>
  </si>
  <si>
    <t>HUONG</t>
  </si>
  <si>
    <t xml:space="preserve">MONTH   :  </t>
  </si>
  <si>
    <t>INSERT B-20</t>
  </si>
  <si>
    <t>SLDIER PIN</t>
  </si>
  <si>
    <t>822E 52952</t>
  </si>
  <si>
    <t>SLIDER 307</t>
  </si>
  <si>
    <t>MOVING CORE A2</t>
  </si>
  <si>
    <t>MOVING CORE C3</t>
  </si>
  <si>
    <t>MOVIGM GEAR K1</t>
  </si>
  <si>
    <t>INSERT SLIDER 304C</t>
  </si>
  <si>
    <t>SLIDER INSERT 304-5</t>
  </si>
  <si>
    <t>A3</t>
  </si>
  <si>
    <t>A4</t>
  </si>
  <si>
    <t>MOVIGN CORE C3</t>
  </si>
  <si>
    <t>FIXING INSERT H1</t>
  </si>
  <si>
    <t>FIXING EJECTOR PIN</t>
  </si>
  <si>
    <t>MOVING` GEAR K1</t>
  </si>
  <si>
    <t>FX489</t>
  </si>
  <si>
    <t>093E 93391</t>
  </si>
  <si>
    <t>FX419</t>
  </si>
  <si>
    <t>FX502</t>
  </si>
  <si>
    <t>822E 08480</t>
  </si>
  <si>
    <t>822E 18493</t>
  </si>
  <si>
    <t>FX425</t>
  </si>
  <si>
    <t>005E 36481</t>
  </si>
  <si>
    <t>W790-PAB021</t>
  </si>
  <si>
    <t>FX451</t>
  </si>
  <si>
    <t>822E08471</t>
  </si>
  <si>
    <t>MC25</t>
  </si>
  <si>
    <t>GRINDING (CNC)</t>
  </si>
  <si>
    <t>GRINDING (SURFACE)</t>
  </si>
  <si>
    <t>FX515</t>
  </si>
  <si>
    <t>093E 04880</t>
  </si>
  <si>
    <t>FX536</t>
  </si>
  <si>
    <t>822E 00291</t>
  </si>
  <si>
    <t>FX531</t>
  </si>
  <si>
    <t xml:space="preserve"> 059E 10302</t>
  </si>
  <si>
    <t>FX537</t>
  </si>
  <si>
    <t>822E 00480</t>
  </si>
  <si>
    <t>cn217</t>
  </si>
  <si>
    <t>K1</t>
  </si>
  <si>
    <t>NEW/REPAIR</t>
  </si>
  <si>
    <t>Quantity</t>
  </si>
  <si>
    <t>NOTE</t>
  </si>
  <si>
    <t>TOTAL
  TIME            ( h )</t>
  </si>
  <si>
    <t xml:space="preserve">START </t>
  </si>
  <si>
    <t>WAITING</t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</si>
</sst>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4" formatCode="0.000"/>
    <numFmt numFmtId="165" formatCode="0_ "/>
    <numFmt numFmtId="166" formatCode="_(* #,##0_);_(* \(#,##0\);_(* &quot;-&quot;??_);_(@_)"/>
    <numFmt numFmtId="167" formatCode="0_);[Red]\(0\)"/>
    <numFmt numFmtId="168" formatCode="yyyy/m/d;@"/>
    <numFmt numFmtId="169" formatCode="000\-00\-0000"/>
  </numFmts>
  <fonts count="50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b/>
      <sz val="28"/>
      <name val="Times New Roman"/>
      <family val="1"/>
    </font>
    <font>
      <sz val="26"/>
      <name val="Times New Roman"/>
      <family val="1"/>
    </font>
    <font>
      <sz val="12"/>
      <name val="Times New Roman"/>
      <family val="1"/>
    </font>
    <font>
      <sz val="11"/>
      <color indexed="8"/>
      <name val="Calibri"/>
      <family val="2"/>
    </font>
    <font>
      <i/>
      <sz val="12"/>
      <name val="Times New Roman"/>
      <family val="1"/>
    </font>
    <font>
      <sz val="12"/>
      <color indexed="10"/>
      <name val="Times New Roman"/>
      <family val="1"/>
    </font>
    <font>
      <sz val="11"/>
      <name val="Times New Roman"/>
      <family val="1"/>
    </font>
    <font>
      <sz val="12"/>
      <color indexed="8"/>
      <name val="Times New Roman"/>
      <family val="1"/>
    </font>
    <font>
      <sz val="11"/>
      <name val="Arial"/>
      <family val="2"/>
    </font>
    <font>
      <sz val="11"/>
      <color indexed="8"/>
      <name val="ＭＳ Ｐゴシック"/>
      <family val="3"/>
      <charset val="128"/>
    </font>
    <font>
      <sz val="12"/>
      <name val="Xerox Sans"/>
      <family val="3"/>
    </font>
    <font>
      <sz val="9"/>
      <name val="Times New Roman"/>
      <family val="1"/>
    </font>
    <font>
      <sz val="11"/>
      <name val="ＭＳ Ｐゴシック"/>
      <family val="3"/>
      <charset val="128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1"/>
      <color indexed="10"/>
      <name val="Times New Roman"/>
      <family val="1"/>
    </font>
    <font>
      <b/>
      <sz val="26"/>
      <name val="Times New Roman"/>
      <family val="1"/>
    </font>
    <font>
      <b/>
      <sz val="20"/>
      <name val="Times New Roman"/>
      <family val="1"/>
    </font>
    <font>
      <sz val="11"/>
      <name val="Times New Roman"/>
      <family val="1"/>
    </font>
    <font>
      <b/>
      <sz val="36"/>
      <name val="Times New Roman"/>
      <family val="1"/>
    </font>
    <font>
      <b/>
      <sz val="12"/>
      <name val="Times New Roman"/>
      <family val="1"/>
    </font>
    <font>
      <b/>
      <i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i/>
      <u/>
      <sz val="1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7"/>
      <name val="Times New Roman"/>
      <family val="1"/>
    </font>
    <font>
      <sz val="8"/>
      <name val="Trebuchet MS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u/>
      <sz val="14"/>
      <color theme="10"/>
      <name val="Arial"/>
      <family val="2"/>
    </font>
    <font>
      <sz val="9"/>
      <color theme="1"/>
      <name val="Times New Roman"/>
      <family val="1"/>
    </font>
    <font>
      <sz val="9"/>
      <color rgb="FF000000"/>
      <name val="Arial"/>
      <family val="2"/>
    </font>
    <font>
      <sz val="12"/>
      <color rgb="FF000000"/>
      <name val="Times New Roman"/>
      <family val="1"/>
    </font>
    <font>
      <b/>
      <sz val="15"/>
      <color rgb="FFFF0000"/>
      <name val="Times New Roman"/>
      <family val="1"/>
    </font>
    <font>
      <sz val="11"/>
      <color rgb="FF000000"/>
      <name val="Arial"/>
      <family val="2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E3E3E3"/>
      </right>
      <top/>
      <bottom/>
      <diagonal/>
    </border>
  </borders>
  <cellStyleXfs count="9">
    <xf numFmtId="0" fontId="0" fillId="0" borderId="0"/>
    <xf numFmtId="43" fontId="38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5" fillId="0" borderId="0"/>
    <xf numFmtId="0" fontId="15" fillId="0" borderId="0">
      <alignment vertical="center"/>
    </xf>
    <xf numFmtId="0" fontId="16" fillId="0" borderId="0"/>
    <xf numFmtId="0" fontId="38" fillId="0" borderId="0"/>
    <xf numFmtId="0" fontId="18" fillId="0" borderId="0">
      <alignment vertical="center"/>
    </xf>
    <xf numFmtId="0" fontId="9" fillId="0" borderId="0"/>
  </cellStyleXfs>
  <cellXfs count="317">
    <xf numFmtId="0" fontId="0" fillId="0" borderId="0" xfId="0"/>
    <xf numFmtId="0" fontId="6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1" fontId="7" fillId="3" borderId="0" xfId="0" applyNumberFormat="1" applyFont="1" applyFill="1" applyAlignment="1">
      <alignment horizontal="center" vertical="center" wrapText="1"/>
    </xf>
    <xf numFmtId="164" fontId="7" fillId="4" borderId="0" xfId="0" applyNumberFormat="1" applyFont="1" applyFill="1" applyAlignment="1">
      <alignment horizontal="left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horizontal="left" vertical="center"/>
    </xf>
    <xf numFmtId="0" fontId="42" fillId="3" borderId="0" xfId="2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1" fontId="8" fillId="3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165" fontId="8" fillId="3" borderId="1" xfId="8" applyNumberFormat="1" applyFont="1" applyFill="1" applyBorder="1" applyAlignment="1">
      <alignment horizontal="left" vertical="center" wrapText="1"/>
    </xf>
    <xf numFmtId="165" fontId="8" fillId="4" borderId="1" xfId="8" applyNumberFormat="1" applyFont="1" applyFill="1" applyBorder="1" applyAlignment="1">
      <alignment horizontal="left" vertical="center" wrapText="1"/>
    </xf>
    <xf numFmtId="165" fontId="8" fillId="6" borderId="1" xfId="8" applyNumberFormat="1" applyFont="1" applyFill="1" applyBorder="1" applyAlignment="1">
      <alignment horizontal="left" vertical="center" wrapText="1"/>
    </xf>
    <xf numFmtId="165" fontId="8" fillId="5" borderId="1" xfId="8" applyNumberFormat="1" applyFont="1" applyFill="1" applyBorder="1" applyAlignment="1">
      <alignment horizontal="left" vertical="center" wrapText="1"/>
    </xf>
    <xf numFmtId="165" fontId="8" fillId="7" borderId="1" xfId="8" applyNumberFormat="1" applyFont="1" applyFill="1" applyBorder="1" applyAlignment="1">
      <alignment horizontal="left" vertical="center" wrapText="1"/>
    </xf>
    <xf numFmtId="164" fontId="8" fillId="4" borderId="1" xfId="0" applyNumberFormat="1" applyFont="1" applyFill="1" applyBorder="1" applyAlignment="1" applyProtection="1">
      <alignment horizontal="left" vertical="center" wrapText="1"/>
      <protection hidden="1"/>
    </xf>
    <xf numFmtId="0" fontId="8" fillId="3" borderId="1" xfId="0" applyFont="1" applyFill="1" applyBorder="1" applyAlignment="1" applyProtection="1">
      <alignment horizontal="left" vertical="center" wrapText="1"/>
      <protection hidden="1"/>
    </xf>
    <xf numFmtId="0" fontId="8" fillId="3" borderId="1" xfId="0" applyFont="1" applyFill="1" applyBorder="1" applyAlignment="1">
      <alignment vertical="center"/>
    </xf>
    <xf numFmtId="1" fontId="8" fillId="3" borderId="1" xfId="0" applyNumberFormat="1" applyFont="1" applyFill="1" applyBorder="1" applyAlignment="1">
      <alignment horizontal="left" vertical="center"/>
    </xf>
    <xf numFmtId="1" fontId="8" fillId="4" borderId="1" xfId="0" applyNumberFormat="1" applyFont="1" applyFill="1" applyBorder="1" applyAlignment="1">
      <alignment horizontal="left" vertical="center"/>
    </xf>
    <xf numFmtId="1" fontId="8" fillId="6" borderId="1" xfId="0" applyNumberFormat="1" applyFont="1" applyFill="1" applyBorder="1" applyAlignment="1">
      <alignment horizontal="left" vertical="center"/>
    </xf>
    <xf numFmtId="1" fontId="8" fillId="5" borderId="1" xfId="0" applyNumberFormat="1" applyFont="1" applyFill="1" applyBorder="1" applyAlignment="1">
      <alignment horizontal="left" vertical="center"/>
    </xf>
    <xf numFmtId="1" fontId="8" fillId="7" borderId="1" xfId="0" applyNumberFormat="1" applyFont="1" applyFill="1" applyBorder="1" applyAlignment="1">
      <alignment horizontal="left" vertical="center"/>
    </xf>
    <xf numFmtId="14" fontId="8" fillId="3" borderId="1" xfId="0" applyNumberFormat="1" applyFont="1" applyFill="1" applyBorder="1" applyAlignment="1">
      <alignment horizontal="left" vertical="center"/>
    </xf>
    <xf numFmtId="14" fontId="8" fillId="3" borderId="1" xfId="0" applyNumberFormat="1" applyFont="1" applyFill="1" applyBorder="1" applyAlignment="1">
      <alignment vertical="center"/>
    </xf>
    <xf numFmtId="1" fontId="3" fillId="5" borderId="1" xfId="0" applyNumberFormat="1" applyFont="1" applyFill="1" applyBorder="1" applyAlignment="1">
      <alignment horizontal="left" vertical="center"/>
    </xf>
    <xf numFmtId="1" fontId="8" fillId="3" borderId="1" xfId="0" applyNumberFormat="1" applyFont="1" applyFill="1" applyBorder="1" applyAlignment="1">
      <alignment vertical="center"/>
    </xf>
    <xf numFmtId="164" fontId="8" fillId="4" borderId="1" xfId="0" applyNumberFormat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shrinkToFit="1"/>
    </xf>
    <xf numFmtId="0" fontId="3" fillId="5" borderId="1" xfId="0" applyFont="1" applyFill="1" applyBorder="1" applyAlignment="1">
      <alignment horizontal="left" vertical="center" shrinkToFit="1"/>
    </xf>
    <xf numFmtId="0" fontId="8" fillId="3" borderId="1" xfId="0" applyFont="1" applyFill="1" applyBorder="1" applyAlignment="1">
      <alignment horizontal="left" vertical="center" shrinkToFit="1"/>
    </xf>
    <xf numFmtId="166" fontId="8" fillId="4" borderId="1" xfId="1" applyNumberFormat="1" applyFont="1" applyFill="1" applyBorder="1" applyAlignment="1">
      <alignment horizontal="left" vertical="center" shrinkToFit="1"/>
    </xf>
    <xf numFmtId="0" fontId="8" fillId="3" borderId="1" xfId="0" applyFont="1" applyFill="1" applyBorder="1" applyAlignment="1">
      <alignment horizontal="left" vertical="center" wrapText="1"/>
    </xf>
    <xf numFmtId="0" fontId="13" fillId="3" borderId="1" xfId="8" applyFont="1" applyFill="1" applyBorder="1" applyAlignment="1">
      <alignment horizontal="left" vertical="center"/>
    </xf>
    <xf numFmtId="0" fontId="13" fillId="3" borderId="1" xfId="8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40" fillId="3" borderId="1" xfId="0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left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" fontId="8" fillId="7" borderId="1" xfId="0" applyNumberFormat="1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left" vertical="center" wrapText="1"/>
    </xf>
    <xf numFmtId="0" fontId="13" fillId="3" borderId="1" xfId="4" applyFont="1" applyFill="1" applyBorder="1" applyAlignment="1">
      <alignment horizontal="left" vertical="center" wrapText="1"/>
    </xf>
    <xf numFmtId="0" fontId="8" fillId="3" borderId="1" xfId="4" applyFont="1" applyFill="1" applyBorder="1" applyAlignment="1">
      <alignment horizontal="left" vertical="center"/>
    </xf>
    <xf numFmtId="0" fontId="8" fillId="3" borderId="1" xfId="3" applyFont="1" applyFill="1" applyBorder="1" applyAlignment="1">
      <alignment horizontal="left" vertical="center"/>
    </xf>
    <xf numFmtId="0" fontId="8" fillId="3" borderId="1" xfId="3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38" fontId="43" fillId="3" borderId="3" xfId="5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41" fillId="5" borderId="1" xfId="0" applyFont="1" applyFill="1" applyBorder="1" applyAlignment="1" applyProtection="1">
      <alignment horizontal="left" vertical="center" wrapText="1"/>
      <protection locked="0"/>
    </xf>
    <xf numFmtId="0" fontId="40" fillId="3" borderId="1" xfId="0" applyFont="1" applyFill="1" applyBorder="1" applyAlignment="1" applyProtection="1">
      <alignment horizontal="left" vertical="center"/>
      <protection locked="0"/>
    </xf>
    <xf numFmtId="0" fontId="40" fillId="3" borderId="1" xfId="0" applyFont="1" applyFill="1" applyBorder="1" applyAlignment="1" applyProtection="1">
      <alignment horizontal="left" vertical="center" wrapText="1"/>
      <protection locked="0"/>
    </xf>
    <xf numFmtId="167" fontId="8" fillId="0" borderId="1" xfId="0" applyNumberFormat="1" applyFont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167" fontId="8" fillId="6" borderId="1" xfId="0" applyNumberFormat="1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167" fontId="8" fillId="7" borderId="1" xfId="0" applyNumberFormat="1" applyFont="1" applyFill="1" applyBorder="1" applyAlignment="1">
      <alignment horizontal="center" vertical="center"/>
    </xf>
    <xf numFmtId="0" fontId="41" fillId="5" borderId="1" xfId="0" applyFont="1" applyFill="1" applyBorder="1" applyAlignment="1" applyProtection="1">
      <alignment horizontal="left" vertical="center"/>
      <protection locked="0"/>
    </xf>
    <xf numFmtId="166" fontId="8" fillId="0" borderId="1" xfId="1" applyNumberFormat="1" applyFont="1" applyFill="1" applyBorder="1" applyAlignment="1" applyProtection="1">
      <alignment horizontal="center" vertical="center"/>
      <protection locked="0"/>
    </xf>
    <xf numFmtId="166" fontId="8" fillId="4" borderId="1" xfId="1" applyNumberFormat="1" applyFont="1" applyFill="1" applyBorder="1" applyAlignment="1" applyProtection="1">
      <alignment horizontal="center" vertical="center"/>
      <protection locked="0"/>
    </xf>
    <xf numFmtId="166" fontId="8" fillId="6" borderId="1" xfId="1" applyNumberFormat="1" applyFont="1" applyFill="1" applyBorder="1" applyAlignment="1" applyProtection="1">
      <alignment horizontal="center" vertical="center"/>
      <protection locked="0"/>
    </xf>
    <xf numFmtId="166" fontId="8" fillId="7" borderId="1" xfId="1" applyNumberFormat="1" applyFont="1" applyFill="1" applyBorder="1" applyAlignment="1" applyProtection="1">
      <alignment horizontal="center" vertical="center"/>
      <protection locked="0"/>
    </xf>
    <xf numFmtId="166" fontId="8" fillId="3" borderId="1" xfId="1" applyNumberFormat="1" applyFont="1" applyFill="1" applyBorder="1" applyAlignment="1" applyProtection="1">
      <alignment horizontal="center" vertical="center"/>
      <protection locked="0"/>
    </xf>
    <xf numFmtId="168" fontId="41" fillId="5" borderId="1" xfId="0" applyNumberFormat="1" applyFont="1" applyFill="1" applyBorder="1" applyAlignment="1" applyProtection="1">
      <alignment horizontal="left" vertical="center"/>
      <protection locked="0"/>
    </xf>
    <xf numFmtId="168" fontId="40" fillId="3" borderId="1" xfId="0" applyNumberFormat="1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8" fillId="6" borderId="1" xfId="0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horizontal="center" vertical="center"/>
      <protection locked="0"/>
    </xf>
    <xf numFmtId="0" fontId="12" fillId="3" borderId="3" xfId="1" applyNumberFormat="1" applyFont="1" applyFill="1" applyBorder="1" applyAlignment="1">
      <alignment vertical="center"/>
    </xf>
    <xf numFmtId="0" fontId="12" fillId="3" borderId="1" xfId="1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44" fillId="3" borderId="25" xfId="0" applyFont="1" applyFill="1" applyBorder="1" applyAlignment="1">
      <alignment horizontal="left" vertical="top"/>
    </xf>
    <xf numFmtId="0" fontId="41" fillId="5" borderId="1" xfId="0" applyFont="1" applyFill="1" applyBorder="1" applyAlignment="1">
      <alignment horizontal="left" vertical="center"/>
    </xf>
    <xf numFmtId="0" fontId="40" fillId="3" borderId="1" xfId="0" applyFont="1" applyFill="1" applyBorder="1" applyAlignment="1">
      <alignment horizontal="left" vertical="center" wrapText="1"/>
    </xf>
    <xf numFmtId="38" fontId="17" fillId="3" borderId="3" xfId="5" applyNumberFormat="1" applyFont="1" applyFill="1" applyBorder="1" applyAlignment="1">
      <alignment vertical="center"/>
    </xf>
    <xf numFmtId="0" fontId="17" fillId="0" borderId="3" xfId="0" applyFont="1" applyBorder="1" applyAlignment="1">
      <alignment horizontal="left" shrinkToFit="1"/>
    </xf>
    <xf numFmtId="38" fontId="1" fillId="3" borderId="3" xfId="5" applyNumberFormat="1" applyFont="1" applyFill="1" applyBorder="1" applyAlignment="1">
      <alignment vertical="center"/>
    </xf>
    <xf numFmtId="38" fontId="1" fillId="3" borderId="4" xfId="5" applyNumberFormat="1" applyFont="1" applyFill="1" applyBorder="1" applyAlignment="1">
      <alignment vertical="center"/>
    </xf>
    <xf numFmtId="0" fontId="4" fillId="0" borderId="5" xfId="0" applyFont="1" applyBorder="1" applyAlignment="1">
      <alignment horizontal="center"/>
    </xf>
    <xf numFmtId="1" fontId="8" fillId="6" borderId="6" xfId="0" applyNumberFormat="1" applyFont="1" applyFill="1" applyBorder="1" applyAlignment="1">
      <alignment horizontal="center" vertical="center"/>
    </xf>
    <xf numFmtId="1" fontId="8" fillId="7" borderId="6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38" fontId="8" fillId="3" borderId="3" xfId="5" applyNumberFormat="1" applyFont="1" applyFill="1" applyBorder="1" applyAlignment="1">
      <alignment vertical="center"/>
    </xf>
    <xf numFmtId="1" fontId="8" fillId="3" borderId="6" xfId="0" applyNumberFormat="1" applyFont="1" applyFill="1" applyBorder="1" applyAlignment="1">
      <alignment horizontal="center" vertical="center"/>
    </xf>
    <xf numFmtId="38" fontId="1" fillId="3" borderId="7" xfId="5" applyNumberFormat="1" applyFont="1" applyFill="1" applyBorder="1" applyAlignment="1">
      <alignment vertical="center"/>
    </xf>
    <xf numFmtId="0" fontId="12" fillId="0" borderId="1" xfId="7" applyFont="1" applyBorder="1" applyAlignment="1">
      <alignment horizontal="left" vertical="center"/>
    </xf>
    <xf numFmtId="0" fontId="12" fillId="3" borderId="1" xfId="7" applyFont="1" applyFill="1" applyBorder="1" applyAlignment="1">
      <alignment horizontal="left" vertical="center"/>
    </xf>
    <xf numFmtId="0" fontId="8" fillId="3" borderId="6" xfId="3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 vertical="center" wrapText="1"/>
    </xf>
    <xf numFmtId="0" fontId="19" fillId="5" borderId="5" xfId="0" applyFont="1" applyFill="1" applyBorder="1" applyAlignment="1">
      <alignment horizontal="left" vertical="center"/>
    </xf>
    <xf numFmtId="0" fontId="1" fillId="3" borderId="5" xfId="3" applyFont="1" applyFill="1" applyBorder="1" applyAlignment="1">
      <alignment horizontal="left" vertical="center"/>
    </xf>
    <xf numFmtId="1" fontId="8" fillId="3" borderId="5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" fillId="3" borderId="1" xfId="3" applyFont="1" applyFill="1" applyBorder="1" applyAlignment="1">
      <alignment horizontal="left" vertical="center"/>
    </xf>
    <xf numFmtId="0" fontId="1" fillId="3" borderId="6" xfId="3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 wrapText="1" shrinkToFit="1"/>
    </xf>
    <xf numFmtId="0" fontId="8" fillId="2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left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 shrinkToFit="1"/>
    </xf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 shrinkToFit="1"/>
    </xf>
    <xf numFmtId="0" fontId="45" fillId="5" borderId="2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 shrinkToFit="1"/>
    </xf>
    <xf numFmtId="0" fontId="19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 wrapText="1" shrinkToFit="1"/>
    </xf>
    <xf numFmtId="0" fontId="19" fillId="5" borderId="1" xfId="0" applyFont="1" applyFill="1" applyBorder="1" applyAlignment="1">
      <alignment horizontal="left"/>
    </xf>
    <xf numFmtId="1" fontId="40" fillId="0" borderId="1" xfId="0" applyNumberFormat="1" applyFont="1" applyBorder="1" applyAlignment="1">
      <alignment horizontal="left"/>
    </xf>
    <xf numFmtId="1" fontId="40" fillId="6" borderId="1" xfId="0" applyNumberFormat="1" applyFont="1" applyFill="1" applyBorder="1" applyAlignment="1">
      <alignment horizontal="left"/>
    </xf>
    <xf numFmtId="1" fontId="40" fillId="5" borderId="1" xfId="0" applyNumberFormat="1" applyFont="1" applyFill="1" applyBorder="1" applyAlignment="1">
      <alignment horizontal="left"/>
    </xf>
    <xf numFmtId="1" fontId="40" fillId="7" borderId="1" xfId="0" applyNumberFormat="1" applyFont="1" applyFill="1" applyBorder="1" applyAlignment="1">
      <alignment horizontal="left"/>
    </xf>
    <xf numFmtId="0" fontId="40" fillId="0" borderId="1" xfId="0" applyFont="1" applyBorder="1" applyAlignment="1">
      <alignment horizontal="left"/>
    </xf>
    <xf numFmtId="1" fontId="40" fillId="4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9" fillId="5" borderId="5" xfId="0" applyFont="1" applyFill="1" applyBorder="1" applyAlignment="1">
      <alignment horizontal="left"/>
    </xf>
    <xf numFmtId="0" fontId="40" fillId="0" borderId="5" xfId="0" applyFont="1" applyBorder="1"/>
    <xf numFmtId="0" fontId="40" fillId="0" borderId="5" xfId="0" applyFont="1" applyBorder="1" applyAlignment="1">
      <alignment wrapText="1"/>
    </xf>
    <xf numFmtId="0" fontId="40" fillId="0" borderId="1" xfId="0" applyFont="1" applyBorder="1" applyAlignment="1">
      <alignment horizontal="left" vertical="center" wrapText="1"/>
    </xf>
    <xf numFmtId="0" fontId="40" fillId="0" borderId="1" xfId="0" applyFont="1" applyBorder="1" applyAlignment="1" applyProtection="1">
      <alignment horizontal="left" vertical="center" wrapText="1"/>
      <protection locked="0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 shrinkToFit="1"/>
    </xf>
    <xf numFmtId="0" fontId="8" fillId="3" borderId="5" xfId="0" applyFont="1" applyFill="1" applyBorder="1" applyAlignment="1">
      <alignment horizontal="left" vertical="center" wrapText="1"/>
    </xf>
    <xf numFmtId="1" fontId="8" fillId="4" borderId="0" xfId="0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1" fontId="8" fillId="7" borderId="0" xfId="0" applyNumberFormat="1" applyFont="1" applyFill="1" applyAlignment="1">
      <alignment horizontal="center" vertical="center"/>
    </xf>
    <xf numFmtId="0" fontId="3" fillId="3" borderId="0" xfId="0" applyFont="1" applyFill="1"/>
    <xf numFmtId="0" fontId="12" fillId="3" borderId="0" xfId="0" applyFont="1" applyFill="1"/>
    <xf numFmtId="0" fontId="12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9" fillId="3" borderId="9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2" fontId="12" fillId="3" borderId="0" xfId="0" applyNumberFormat="1" applyFont="1" applyFill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12" fillId="3" borderId="8" xfId="0" applyNumberFormat="1" applyFont="1" applyFill="1" applyBorder="1" applyAlignment="1">
      <alignment horizontal="center"/>
    </xf>
    <xf numFmtId="0" fontId="46" fillId="4" borderId="1" xfId="0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left" vertical="center"/>
    </xf>
    <xf numFmtId="0" fontId="12" fillId="3" borderId="1" xfId="8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1" fontId="12" fillId="3" borderId="1" xfId="0" applyNumberFormat="1" applyFont="1" applyFill="1" applyBorder="1" applyAlignment="1">
      <alignment horizontal="left" vertical="center"/>
    </xf>
    <xf numFmtId="0" fontId="47" fillId="3" borderId="25" xfId="0" applyFont="1" applyFill="1" applyBorder="1" applyAlignment="1">
      <alignment horizontal="left" vertical="center"/>
    </xf>
    <xf numFmtId="0" fontId="48" fillId="3" borderId="1" xfId="0" applyFont="1" applyFill="1" applyBorder="1" applyAlignment="1">
      <alignment horizontal="left" vertical="center"/>
    </xf>
    <xf numFmtId="11" fontId="12" fillId="3" borderId="1" xfId="0" applyNumberFormat="1" applyFont="1" applyFill="1" applyBorder="1" applyAlignment="1">
      <alignment horizontal="left" vertical="center"/>
    </xf>
    <xf numFmtId="0" fontId="12" fillId="3" borderId="1" xfId="3" applyFont="1" applyFill="1" applyBorder="1" applyAlignment="1">
      <alignment horizontal="left" vertical="center"/>
    </xf>
    <xf numFmtId="11" fontId="12" fillId="3" borderId="1" xfId="0" applyNumberFormat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38" fontId="48" fillId="3" borderId="3" xfId="5" applyNumberFormat="1" applyFont="1" applyFill="1" applyBorder="1" applyAlignment="1">
      <alignment vertical="center"/>
    </xf>
    <xf numFmtId="0" fontId="20" fillId="3" borderId="1" xfId="0" applyFont="1" applyFill="1" applyBorder="1" applyAlignment="1">
      <alignment horizontal="left" vertical="center"/>
    </xf>
    <xf numFmtId="0" fontId="48" fillId="3" borderId="1" xfId="0" applyFont="1" applyFill="1" applyBorder="1" applyAlignment="1" applyProtection="1">
      <alignment horizontal="left" vertical="center"/>
      <protection locked="0"/>
    </xf>
    <xf numFmtId="0" fontId="48" fillId="3" borderId="1" xfId="0" applyFont="1" applyFill="1" applyBorder="1" applyAlignment="1" applyProtection="1">
      <alignment horizontal="left" vertical="center" wrapText="1"/>
      <protection locked="0"/>
    </xf>
    <xf numFmtId="11" fontId="48" fillId="3" borderId="1" xfId="0" applyNumberFormat="1" applyFont="1" applyFill="1" applyBorder="1" applyAlignment="1" applyProtection="1">
      <alignment horizontal="left" vertical="center"/>
      <protection locked="0"/>
    </xf>
    <xf numFmtId="169" fontId="48" fillId="3" borderId="1" xfId="0" quotePrefix="1" applyNumberFormat="1" applyFont="1" applyFill="1" applyBorder="1" applyAlignment="1">
      <alignment horizontal="left" vertical="center"/>
    </xf>
    <xf numFmtId="0" fontId="48" fillId="3" borderId="1" xfId="0" quotePrefix="1" applyFont="1" applyFill="1" applyBorder="1" applyAlignment="1">
      <alignment horizontal="left" vertical="center"/>
    </xf>
    <xf numFmtId="38" fontId="12" fillId="3" borderId="3" xfId="5" applyNumberFormat="1" applyFont="1" applyFill="1" applyBorder="1" applyAlignment="1">
      <alignment vertical="center"/>
    </xf>
    <xf numFmtId="11" fontId="12" fillId="0" borderId="3" xfId="0" applyNumberFormat="1" applyFont="1" applyBorder="1" applyAlignment="1">
      <alignment horizontal="left" shrinkToFit="1"/>
    </xf>
    <xf numFmtId="0" fontId="12" fillId="0" borderId="3" xfId="0" applyFont="1" applyBorder="1" applyAlignment="1">
      <alignment horizontal="left" shrinkToFit="1"/>
    </xf>
    <xf numFmtId="11" fontId="12" fillId="3" borderId="1" xfId="3" applyNumberFormat="1" applyFont="1" applyFill="1" applyBorder="1" applyAlignment="1">
      <alignment horizontal="left" vertical="center"/>
    </xf>
    <xf numFmtId="0" fontId="12" fillId="3" borderId="10" xfId="3" applyFont="1" applyFill="1" applyBorder="1" applyAlignment="1">
      <alignment horizontal="left" vertical="center"/>
    </xf>
    <xf numFmtId="0" fontId="12" fillId="3" borderId="5" xfId="3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 vertical="center" wrapText="1"/>
    </xf>
    <xf numFmtId="0" fontId="47" fillId="3" borderId="25" xfId="0" applyFont="1" applyFill="1" applyBorder="1" applyAlignment="1">
      <alignment horizontal="left" vertical="top"/>
    </xf>
    <xf numFmtId="0" fontId="12" fillId="0" borderId="5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/>
    </xf>
    <xf numFmtId="0" fontId="12" fillId="3" borderId="6" xfId="0" applyFont="1" applyFill="1" applyBorder="1" applyAlignment="1">
      <alignment horizontal="left" vertical="center"/>
    </xf>
    <xf numFmtId="0" fontId="48" fillId="0" borderId="1" xfId="0" applyFont="1" applyBorder="1" applyAlignment="1">
      <alignment horizontal="left" vertical="center" wrapText="1"/>
    </xf>
    <xf numFmtId="0" fontId="48" fillId="0" borderId="1" xfId="0" applyFont="1" applyBorder="1" applyAlignment="1" applyProtection="1">
      <alignment horizontal="left" vertical="center" wrapText="1"/>
      <protection locked="0"/>
    </xf>
    <xf numFmtId="0" fontId="12" fillId="3" borderId="5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 shrinkToFit="1"/>
    </xf>
    <xf numFmtId="11" fontId="12" fillId="3" borderId="5" xfId="0" applyNumberFormat="1" applyFont="1" applyFill="1" applyBorder="1" applyAlignment="1">
      <alignment horizontal="left" vertical="center" wrapText="1" shrinkToFit="1"/>
    </xf>
    <xf numFmtId="0" fontId="22" fillId="3" borderId="0" xfId="0" applyFont="1" applyFill="1" applyAlignment="1">
      <alignment vertical="center"/>
    </xf>
    <xf numFmtId="1" fontId="3" fillId="5" borderId="1" xfId="0" applyNumberFormat="1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left" vertical="center"/>
    </xf>
    <xf numFmtId="11" fontId="12" fillId="3" borderId="5" xfId="0" applyNumberFormat="1" applyFont="1" applyFill="1" applyBorder="1" applyAlignment="1">
      <alignment horizontal="left" vertical="center" wrapText="1"/>
    </xf>
    <xf numFmtId="11" fontId="8" fillId="3" borderId="1" xfId="0" applyNumberFormat="1" applyFont="1" applyFill="1" applyBorder="1" applyAlignment="1">
      <alignment horizontal="left" vertical="center"/>
    </xf>
    <xf numFmtId="14" fontId="12" fillId="3" borderId="0" xfId="0" applyNumberFormat="1" applyFont="1" applyFill="1"/>
    <xf numFmtId="4" fontId="23" fillId="3" borderId="0" xfId="0" applyNumberFormat="1" applyFont="1" applyFill="1" applyAlignment="1">
      <alignment horizontal="center" vertical="center"/>
    </xf>
    <xf numFmtId="0" fontId="24" fillId="0" borderId="0" xfId="0" applyFont="1"/>
    <xf numFmtId="0" fontId="25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4" fontId="25" fillId="3" borderId="0" xfId="0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0" fontId="28" fillId="0" borderId="1" xfId="3" applyFont="1" applyBorder="1" applyAlignment="1">
      <alignment horizontal="center"/>
    </xf>
    <xf numFmtId="0" fontId="29" fillId="0" borderId="1" xfId="0" applyFont="1" applyBorder="1" applyAlignment="1">
      <alignment vertical="center" wrapText="1"/>
    </xf>
    <xf numFmtId="0" fontId="30" fillId="3" borderId="0" xfId="0" applyFont="1" applyFill="1"/>
    <xf numFmtId="0" fontId="30" fillId="0" borderId="0" xfId="0" applyFont="1"/>
    <xf numFmtId="4" fontId="30" fillId="3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/>
    <xf numFmtId="0" fontId="29" fillId="0" borderId="0" xfId="0" applyFont="1"/>
    <xf numFmtId="0" fontId="31" fillId="3" borderId="0" xfId="0" applyFont="1" applyFill="1"/>
    <xf numFmtId="0" fontId="32" fillId="3" borderId="0" xfId="0" applyFont="1" applyFill="1"/>
    <xf numFmtId="4" fontId="31" fillId="3" borderId="0" xfId="0" applyNumberFormat="1" applyFont="1" applyFill="1" applyAlignment="1">
      <alignment horizontal="center" vertical="center"/>
    </xf>
    <xf numFmtId="0" fontId="26" fillId="0" borderId="5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4" fontId="24" fillId="0" borderId="0" xfId="0" applyNumberFormat="1" applyFont="1" applyAlignment="1">
      <alignment horizontal="center" vertical="center"/>
    </xf>
    <xf numFmtId="0" fontId="49" fillId="11" borderId="1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24" fillId="3" borderId="0" xfId="0" applyFont="1" applyFill="1"/>
    <xf numFmtId="0" fontId="23" fillId="3" borderId="0" xfId="0" applyFont="1" applyFill="1" applyAlignment="1">
      <alignment vertical="center"/>
    </xf>
    <xf numFmtId="0" fontId="23" fillId="3" borderId="2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36" fillId="0" borderId="16" xfId="0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" fillId="8" borderId="11" xfId="0" applyFont="1" applyFill="1" applyBorder="1" applyAlignment="1">
      <alignment horizontal="center" vertical="center" wrapText="1"/>
    </xf>
    <xf numFmtId="0" fontId="26" fillId="8" borderId="6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22" fillId="3" borderId="0" xfId="0" applyFont="1" applyFill="1" applyAlignment="1">
      <alignment horizontal="left" vertical="center" wrapText="1"/>
    </xf>
    <xf numFmtId="0" fontId="23" fillId="3" borderId="0" xfId="1" applyNumberFormat="1" applyFont="1" applyFill="1" applyAlignment="1">
      <alignment vertical="center"/>
    </xf>
    <xf numFmtId="0" fontId="23" fillId="3" borderId="2" xfId="1" applyNumberFormat="1" applyFont="1" applyFill="1" applyBorder="1" applyAlignment="1">
      <alignment vertical="center"/>
    </xf>
    <xf numFmtId="0" fontId="25" fillId="3" borderId="0" xfId="1" applyNumberFormat="1" applyFont="1" applyFill="1" applyAlignment="1">
      <alignment horizontal="center" vertical="center"/>
    </xf>
    <xf numFmtId="0" fontId="30" fillId="3" borderId="0" xfId="1" applyNumberFormat="1" applyFont="1" applyFill="1" applyAlignment="1">
      <alignment horizontal="center" vertical="center"/>
    </xf>
    <xf numFmtId="0" fontId="31" fillId="3" borderId="0" xfId="1" applyNumberFormat="1" applyFont="1" applyFill="1" applyAlignment="1">
      <alignment horizontal="center" vertical="center"/>
    </xf>
    <xf numFmtId="0" fontId="34" fillId="0" borderId="11" xfId="1" applyNumberFormat="1" applyFont="1" applyBorder="1" applyAlignment="1">
      <alignment horizontal="center" vertical="center" wrapText="1"/>
    </xf>
    <xf numFmtId="0" fontId="34" fillId="0" borderId="6" xfId="1" applyNumberFormat="1" applyFont="1" applyBorder="1" applyAlignment="1">
      <alignment horizontal="center" vertical="center" wrapText="1"/>
    </xf>
    <xf numFmtId="0" fontId="24" fillId="0" borderId="0" xfId="1" applyNumberFormat="1" applyFont="1" applyAlignment="1">
      <alignment horizontal="center" vertical="center"/>
    </xf>
    <xf numFmtId="0" fontId="23" fillId="3" borderId="0" xfId="0" applyNumberFormat="1" applyFont="1" applyFill="1" applyAlignment="1">
      <alignment horizontal="center" vertical="center"/>
    </xf>
    <xf numFmtId="0" fontId="25" fillId="3" borderId="0" xfId="0" applyNumberFormat="1" applyFont="1" applyFill="1" applyAlignment="1">
      <alignment horizontal="center" vertical="center"/>
    </xf>
    <xf numFmtId="0" fontId="30" fillId="3" borderId="0" xfId="0" applyNumberFormat="1" applyFont="1" applyFill="1" applyAlignment="1">
      <alignment horizontal="center" vertical="center"/>
    </xf>
    <xf numFmtId="0" fontId="31" fillId="3" borderId="0" xfId="0" applyNumberFormat="1" applyFont="1" applyFill="1" applyAlignment="1">
      <alignment horizontal="center" vertical="center"/>
    </xf>
    <xf numFmtId="0" fontId="34" fillId="0" borderId="17" xfId="0" applyNumberFormat="1" applyFont="1" applyBorder="1" applyAlignment="1">
      <alignment horizontal="center" vertical="center" wrapText="1"/>
    </xf>
    <xf numFmtId="0" fontId="34" fillId="0" borderId="6" xfId="0" applyNumberFormat="1" applyFont="1" applyBorder="1" applyAlignment="1">
      <alignment horizontal="center" vertical="center" wrapText="1"/>
    </xf>
    <xf numFmtId="0" fontId="24" fillId="0" borderId="0" xfId="0" applyNumberFormat="1" applyFont="1" applyAlignment="1">
      <alignment horizontal="center" vertical="center"/>
    </xf>
  </cellXfs>
  <cellStyles count="9">
    <cellStyle name="Comma" xfId="1" builtinId="3"/>
    <cellStyle name="Hyperlink" xfId="2" builtinId="8"/>
    <cellStyle name="Normal" xfId="0" builtinId="0"/>
    <cellStyle name="Normal 2" xfId="3"/>
    <cellStyle name="Normal 3" xfId="4"/>
    <cellStyle name="Normal 4" xfId="5"/>
    <cellStyle name="Normal 5" xfId="6"/>
    <cellStyle name="Normal_MC cap'4-Aug---" xfId="7"/>
    <cellStyle name="Normal_Sheet1" xf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barChart>
        <c:barDir val="col"/>
        <c:grouping val="clustered"/>
        <c:ser>
          <c:idx val="0"/>
          <c:order val="0"/>
          <c:tx>
            <c:strRef>
              <c:f>'DETAIL '!$A$6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val>
            <c:numRef>
              <c:f>'DETAIL '!$A$7:$A$7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0B-4024-9F70-1CD64D20BC4F}"/>
            </c:ext>
          </c:extLst>
        </c:ser>
        <c:ser>
          <c:idx val="1"/>
          <c:order val="1"/>
          <c:tx>
            <c:strRef>
              <c:f>'DETAIL '!$B$6</c:f>
              <c:strCache>
                <c:ptCount val="1"/>
                <c:pt idx="0">
                  <c:v>ACC FIX ASSETS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val>
            <c:numRef>
              <c:f>'DETAIL '!$B$7:$B$7</c:f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E0B-4024-9F70-1CD64D20BC4F}"/>
            </c:ext>
          </c:extLst>
        </c:ser>
        <c:ser>
          <c:idx val="2"/>
          <c:order val="2"/>
          <c:tx>
            <c:strRef>
              <c:f>'DETAIL '!$C$6</c:f>
              <c:strCache>
                <c:ptCount val="1"/>
                <c:pt idx="0">
                  <c:v>CODE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val>
            <c:numRef>
              <c:f>'DETAIL '!$C$7:$C$7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E0B-4024-9F70-1CD64D20BC4F}"/>
            </c:ext>
          </c:extLst>
        </c:ser>
        <c:ser>
          <c:idx val="3"/>
          <c:order val="3"/>
          <c:tx>
            <c:strRef>
              <c:f>'DETAIL '!$D$6</c:f>
              <c:strCache>
                <c:ptCount val="1"/>
                <c:pt idx="0">
                  <c:v>MACHINE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val>
            <c:numRef>
              <c:f>'DETAIL '!$D$7:$D$7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E0B-4024-9F70-1CD64D20BC4F}"/>
            </c:ext>
          </c:extLst>
        </c:ser>
        <c:ser>
          <c:idx val="4"/>
          <c:order val="4"/>
          <c:tx>
            <c:strRef>
              <c:f>'DETAIL '!$E$6</c:f>
              <c:strCache>
                <c:ptCount val="1"/>
                <c:pt idx="0">
                  <c:v>CLASSIFICATION</c:v>
                </c:pt>
              </c:strCache>
            </c:strRef>
          </c:tx>
          <c:spPr>
            <a:solidFill>
              <a:srgbClr val="4BACC6"/>
            </a:solidFill>
            <a:ln w="25400">
              <a:noFill/>
            </a:ln>
          </c:spPr>
          <c:val>
            <c:numRef>
              <c:f>'DETAIL '!$E$7:$E$7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E0B-4024-9F70-1CD64D20BC4F}"/>
            </c:ext>
          </c:extLst>
        </c:ser>
        <c:ser>
          <c:idx val="5"/>
          <c:order val="5"/>
          <c:tx>
            <c:strRef>
              <c:f>'DETAIL '!$F$6</c:f>
              <c:strCache>
                <c:ptCount val="1"/>
                <c:pt idx="0">
                  <c:v>INDEX</c:v>
                </c:pt>
              </c:strCache>
            </c:strRef>
          </c:tx>
          <c:spPr>
            <a:solidFill>
              <a:srgbClr val="F79646"/>
            </a:solidFill>
            <a:ln w="25400">
              <a:noFill/>
            </a:ln>
          </c:spPr>
          <c:val>
            <c:numRef>
              <c:f>'DETAIL '!$F$7:$F$7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E0B-4024-9F70-1CD64D20BC4F}"/>
            </c:ext>
          </c:extLst>
        </c:ser>
        <c:ser>
          <c:idx val="6"/>
          <c:order val="6"/>
          <c:tx>
            <c:strRef>
              <c:f>'DETAIL 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E0B-4024-9F70-1CD64D20BC4F}"/>
            </c:ext>
          </c:extLst>
        </c:ser>
        <c:ser>
          <c:idx val="7"/>
          <c:order val="7"/>
          <c:tx>
            <c:strRef>
              <c:f>'DETAIL '!$G$6</c:f>
              <c:strCache>
                <c:ptCount val="1"/>
                <c:pt idx="0">
                  <c:v>PART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'!$G$7:$G$7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9E0B-4024-9F70-1CD64D20BC4F}"/>
            </c:ext>
          </c:extLst>
        </c:ser>
        <c:ser>
          <c:idx val="8"/>
          <c:order val="8"/>
          <c:tx>
            <c:strRef>
              <c:f>'DETAIL '!$H$6</c:f>
              <c:strCache>
                <c:ptCount val="1"/>
                <c:pt idx="0">
                  <c:v>TIME ( h 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'!$H$7:$H$7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E0B-4024-9F70-1CD64D20BC4F}"/>
            </c:ext>
          </c:extLst>
        </c:ser>
        <c:ser>
          <c:idx val="9"/>
          <c:order val="9"/>
          <c:tx>
            <c:strRef>
              <c:f>'DETAIL '!$I$6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'!$I$7:$I$7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9E0B-4024-9F70-1CD64D20BC4F}"/>
            </c:ext>
          </c:extLst>
        </c:ser>
        <c:ser>
          <c:idx val="10"/>
          <c:order val="10"/>
          <c:tx>
            <c:strRef>
              <c:f>'DETAIL '!$J$6</c:f>
              <c:strCache>
                <c:ptCount val="1"/>
                <c:pt idx="0">
                  <c:v>TOTAL
  TIME            ( h 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'!$J$7:$J$7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E0B-4024-9F70-1CD64D20BC4F}"/>
            </c:ext>
          </c:extLst>
        </c:ser>
        <c:ser>
          <c:idx val="11"/>
          <c:order val="11"/>
          <c:tx>
            <c:strRef>
              <c:f>'DETAIL '!$K$6</c:f>
              <c:strCache>
                <c:ptCount val="1"/>
                <c:pt idx="0">
                  <c:v>WITH OPERATOR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val>
            <c:numRef>
              <c:f>'DETAIL '!$K$7:$K$7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9E0B-4024-9F70-1CD64D20BC4F}"/>
            </c:ext>
          </c:extLst>
        </c:ser>
        <c:ser>
          <c:idx val="12"/>
          <c:order val="12"/>
          <c:tx>
            <c:strRef>
              <c:f>'DETAIL '!$L$6</c:f>
              <c:strCache>
                <c:ptCount val="1"/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'!$L$7:$L$7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9E0B-4024-9F70-1CD64D20BC4F}"/>
            </c:ext>
          </c:extLst>
        </c:ser>
        <c:ser>
          <c:idx val="13"/>
          <c:order val="13"/>
          <c:tx>
            <c:strRef>
              <c:f>'DETAIL '!$M$6</c:f>
              <c:strCache>
                <c:ptCount val="1"/>
                <c:pt idx="0">
                  <c:v>AUTOMATION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'!$M$7:$M$7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9E0B-4024-9F70-1CD64D20BC4F}"/>
            </c:ext>
          </c:extLst>
        </c:ser>
        <c:ser>
          <c:idx val="14"/>
          <c:order val="14"/>
          <c:tx>
            <c:strRef>
              <c:f>'DETAIL '!$N$6</c:f>
              <c:strCache>
                <c:ptCount val="1"/>
                <c:pt idx="0">
                  <c:v>P.I.C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'!$N$7:$N$7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9E0B-4024-9F70-1CD64D20BC4F}"/>
            </c:ext>
          </c:extLst>
        </c:ser>
        <c:ser>
          <c:idx val="15"/>
          <c:order val="15"/>
          <c:tx>
            <c:v>'DETAIL '!#REF!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'!#REF!</c:f>
              <c:numCache>
                <c:formatCode>General</c:formatCode>
                <c:ptCount val="91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9E0B-4024-9F70-1CD64D20BC4F}"/>
            </c:ext>
          </c:extLst>
        </c:ser>
        <c:ser>
          <c:idx val="16"/>
          <c:order val="16"/>
          <c:tx>
            <c:strRef>
              <c:f>'DETAIL '!$O$6</c:f>
              <c:strCache>
                <c:ptCount val="1"/>
                <c:pt idx="0">
                  <c:v>TOTAL UTILIZATION RATE OF DAY (%)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'!$O$7:$O$7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9E0B-4024-9F70-1CD64D20BC4F}"/>
            </c:ext>
          </c:extLst>
        </c:ser>
        <c:ser>
          <c:idx val="17"/>
          <c:order val="17"/>
          <c:tx>
            <c:strRef>
              <c:f>'DETAIL '!$P$6</c:f>
              <c:strCache>
                <c:ptCount val="1"/>
                <c:pt idx="0">
                  <c:v>% LOST TIME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val>
            <c:numRef>
              <c:f>'DETAIL '!$P$7:$P$7</c:f>
              <c:numCache>
                <c:formatCode>General</c:formatCode>
                <c:ptCount val="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9E0B-4024-9F70-1CD64D20BC4F}"/>
            </c:ext>
          </c:extLst>
        </c:ser>
        <c:gapWidth val="219"/>
        <c:overlap val="-27"/>
        <c:axId val="142978048"/>
        <c:axId val="142992128"/>
      </c:barChart>
      <c:catAx>
        <c:axId val="14297804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92128"/>
        <c:crosses val="autoZero"/>
        <c:auto val="1"/>
        <c:lblAlgn val="ctr"/>
        <c:lblOffset val="100"/>
      </c:catAx>
      <c:valAx>
        <c:axId val="14299212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7804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74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067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42FA6C6-A9A6-B020-0B1E-06FF741790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633</xdr:row>
      <xdr:rowOff>0</xdr:rowOff>
    </xdr:from>
    <xdr:to>
      <xdr:col>25</xdr:col>
      <xdr:colOff>47625</xdr:colOff>
      <xdr:row>636</xdr:row>
      <xdr:rowOff>171450</xdr:rowOff>
    </xdr:to>
    <xdr:grpSp>
      <xdr:nvGrpSpPr>
        <xdr:cNvPr id="210843" name="Group 4">
          <a:extLst>
            <a:ext uri="{FF2B5EF4-FFF2-40B4-BE49-F238E27FC236}">
              <a16:creationId xmlns:a16="http://schemas.microsoft.com/office/drawing/2014/main" xmlns="" id="{E441A73F-6BDA-F1EC-8A02-B0FEF638374D}"/>
            </a:ext>
          </a:extLst>
        </xdr:cNvPr>
        <xdr:cNvGrpSpPr>
          <a:grpSpLocks/>
        </xdr:cNvGrpSpPr>
      </xdr:nvGrpSpPr>
      <xdr:grpSpPr bwMode="auto">
        <a:xfrm>
          <a:off x="22479000" y="223599375"/>
          <a:ext cx="4543425" cy="1228725"/>
          <a:chOff x="8282943" y="207656847"/>
          <a:chExt cx="5051580" cy="126914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xmlns="" id="{EB311355-5A13-3CE4-04AD-EBD423245796}"/>
              </a:ext>
            </a:extLst>
          </xdr:cNvPr>
          <xdr:cNvSpPr/>
        </xdr:nvSpPr>
        <xdr:spPr>
          <a:xfrm>
            <a:off x="86344151" y="1868267"/>
            <a:ext cx="1641499" cy="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Prepared</a:t>
            </a:r>
            <a:r>
              <a:rPr lang="en-US" sz="1100" baseline="0"/>
              <a:t> by:</a:t>
            </a:r>
          </a:p>
          <a:p>
            <a:pPr algn="l"/>
            <a:endParaRPr lang="en-US" sz="1100" baseline="0"/>
          </a:p>
          <a:p>
            <a:pPr algn="l"/>
            <a:endParaRPr lang="en-US" sz="1100" baseline="0"/>
          </a:p>
          <a:p>
            <a:pPr algn="l"/>
            <a:endParaRPr lang="en-US" sz="1100" baseline="0"/>
          </a:p>
          <a:p>
            <a:pPr algn="l"/>
            <a:r>
              <a:rPr lang="en-US" sz="1100" baseline="0"/>
              <a:t>Mai Thi Lan</a:t>
            </a:r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xmlns="" id="{1DDA0C9F-6125-69F0-C735-56A1D79E75C6}"/>
              </a:ext>
            </a:extLst>
          </xdr:cNvPr>
          <xdr:cNvSpPr/>
        </xdr:nvSpPr>
        <xdr:spPr>
          <a:xfrm>
            <a:off x="86301790" y="1868267"/>
            <a:ext cx="1715631" cy="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Checked by:</a:t>
            </a:r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r>
              <a:rPr lang="en-US" sz="1100"/>
              <a:t>Phung Van Dien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xmlns="" id="{66DCDBC1-B5EE-4256-EE82-D65A8ADBF313}"/>
              </a:ext>
            </a:extLst>
          </xdr:cNvPr>
          <xdr:cNvSpPr/>
        </xdr:nvSpPr>
        <xdr:spPr>
          <a:xfrm>
            <a:off x="86322970" y="1868267"/>
            <a:ext cx="1694450" cy="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Approved by:</a:t>
            </a:r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endParaRPr lang="en-US" sz="1100"/>
          </a:p>
          <a:p>
            <a:pPr algn="l"/>
            <a:r>
              <a:rPr lang="en-US" sz="1100"/>
              <a:t>Mr. Nagashima</a:t>
            </a:r>
          </a:p>
        </xdr:txBody>
      </xdr:sp>
    </xdr:grpSp>
    <xdr:clientData/>
  </xdr:twoCellAnchor>
  <xdr:twoCellAnchor>
    <xdr:from>
      <xdr:col>13</xdr:col>
      <xdr:colOff>514894</xdr:colOff>
      <xdr:row>0</xdr:row>
      <xdr:rowOff>43543</xdr:rowOff>
    </xdr:from>
    <xdr:to>
      <xdr:col>15</xdr:col>
      <xdr:colOff>1109004</xdr:colOff>
      <xdr:row>2</xdr:row>
      <xdr:rowOff>348343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4891A1A4-CFC8-B7BC-616E-060F77A4F404}"/>
            </a:ext>
          </a:extLst>
        </xdr:cNvPr>
        <xdr:cNvSpPr/>
      </xdr:nvSpPr>
      <xdr:spPr>
        <a:xfrm>
          <a:off x="20155444" y="43543"/>
          <a:ext cx="4146935" cy="1200150"/>
        </a:xfrm>
        <a:prstGeom prst="rect">
          <a:avLst/>
        </a:prstGeom>
        <a:solidFill>
          <a:srgbClr val="FF99FF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 u="sng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Note</a:t>
          </a:r>
          <a:r>
            <a:rPr lang="en-US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1. Mold running MP    :</a:t>
          </a:r>
          <a:r>
            <a:rPr lang="vi-VN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853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molds</a:t>
          </a:r>
        </a:p>
        <a:p>
          <a:pPr algn="l"/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2. Mold running MT : </a:t>
          </a:r>
          <a:r>
            <a:rPr lang="vi-VN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4 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molds</a:t>
          </a:r>
        </a:p>
        <a:p>
          <a:pPr algn="l"/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3. Mold T.S               : </a:t>
          </a:r>
          <a:r>
            <a:rPr lang="vi-VN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75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molds</a:t>
          </a:r>
        </a:p>
        <a:p>
          <a:pPr algn="l"/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4. Unuse mold           : </a:t>
          </a:r>
          <a:r>
            <a:rPr lang="vi-VN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93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molds</a:t>
          </a:r>
        </a:p>
        <a:p>
          <a:pPr algn="l"/>
          <a:r>
            <a:rPr lang="en-US" sz="1400" u="sng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* Other mold</a:t>
          </a:r>
          <a:r>
            <a:rPr lang="en-US" sz="14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 not yet have schedule to T.s </a:t>
          </a:r>
          <a:endParaRPr lang="en-US" sz="110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AppData/Roaming/Microsoft/Excel/MS%20LAN/DANH%20SACH%20KHUON%20TR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">
    <tabColor rgb="FF00FF00"/>
  </sheetPr>
  <dimension ref="A1:S7"/>
  <sheetViews>
    <sheetView tabSelected="1" zoomScale="80" zoomScaleNormal="80" workbookViewId="0">
      <pane ySplit="7" topLeftCell="A8" activePane="bottomLeft" state="frozen"/>
      <selection pane="bottomLeft" activeCell="P12" sqref="P12"/>
    </sheetView>
  </sheetViews>
  <sheetFormatPr defaultColWidth="9" defaultRowHeight="15.75"/>
  <cols>
    <col min="1" max="1" width="13.42578125" style="264" customWidth="1"/>
    <col min="2" max="2" width="16.42578125" style="244" hidden="1" customWidth="1"/>
    <col min="3" max="3" width="10.42578125" style="264" customWidth="1"/>
    <col min="4" max="4" width="22.28515625" style="264" customWidth="1"/>
    <col min="5" max="5" width="30.140625" style="258" customWidth="1"/>
    <col min="6" max="6" width="15.42578125" style="244" customWidth="1"/>
    <col min="7" max="7" width="30.42578125" style="244" customWidth="1"/>
    <col min="8" max="9" width="12.5703125" style="244" customWidth="1"/>
    <col min="10" max="10" width="12.5703125" style="268" customWidth="1"/>
    <col min="11" max="11" width="10.42578125" style="244" customWidth="1"/>
    <col min="12" max="12" width="14.42578125" style="244" customWidth="1"/>
    <col min="13" max="13" width="13.7109375" style="244" customWidth="1"/>
    <col min="14" max="14" width="14.7109375" style="244" customWidth="1"/>
    <col min="15" max="15" width="12" style="309" customWidth="1"/>
    <col min="16" max="16" width="15.7109375" style="316" customWidth="1"/>
    <col min="17" max="17" width="18.85546875" style="265" customWidth="1"/>
    <col min="18" max="18" width="11.85546875" style="244" customWidth="1"/>
    <col min="19" max="19" width="20.28515625" style="244" customWidth="1"/>
    <col min="20" max="16384" width="9" style="244"/>
  </cols>
  <sheetData>
    <row r="1" spans="1:19" ht="45.75" customHeight="1">
      <c r="A1" s="269" t="s">
        <v>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302"/>
      <c r="P1" s="310"/>
      <c r="Q1" s="243"/>
    </row>
    <row r="2" spans="1:19" ht="4.5" customHeight="1" thickBot="1">
      <c r="A2" s="270"/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303"/>
      <c r="P2" s="310"/>
      <c r="Q2" s="243"/>
    </row>
    <row r="3" spans="1:19" ht="6.75" customHeight="1" thickTop="1">
      <c r="A3" s="245"/>
      <c r="B3" s="246"/>
      <c r="C3" s="245"/>
      <c r="D3" s="246"/>
      <c r="E3" s="247"/>
      <c r="F3" s="246"/>
      <c r="G3" s="246"/>
      <c r="H3" s="246"/>
      <c r="I3" s="246"/>
      <c r="J3" s="246"/>
      <c r="K3" s="246"/>
      <c r="L3" s="246"/>
      <c r="M3" s="246"/>
      <c r="N3" s="246"/>
      <c r="O3" s="304"/>
      <c r="P3" s="311"/>
      <c r="Q3" s="248"/>
    </row>
    <row r="4" spans="1:19" s="254" customFormat="1" ht="31.5" customHeight="1">
      <c r="A4" s="249" t="s">
        <v>3827</v>
      </c>
      <c r="B4" s="250"/>
      <c r="C4" s="251" t="s">
        <v>22</v>
      </c>
      <c r="D4" s="251">
        <v>2026</v>
      </c>
      <c r="E4" s="252"/>
      <c r="F4" s="253"/>
      <c r="G4" s="250" t="s">
        <v>3655</v>
      </c>
      <c r="I4" s="253"/>
      <c r="J4" s="253"/>
      <c r="K4" s="250" t="s">
        <v>5</v>
      </c>
      <c r="L4" s="253"/>
      <c r="M4" s="253"/>
      <c r="N4" s="253"/>
      <c r="O4" s="305"/>
      <c r="P4" s="312"/>
      <c r="Q4" s="255"/>
    </row>
    <row r="5" spans="1:19" s="257" customFormat="1" ht="13.5" customHeight="1" thickBot="1">
      <c r="A5" s="256"/>
      <c r="C5" s="256"/>
      <c r="D5" s="256"/>
      <c r="E5" s="258"/>
      <c r="F5" s="259"/>
      <c r="G5" s="259"/>
      <c r="H5" s="260"/>
      <c r="I5" s="260"/>
      <c r="J5" s="260"/>
      <c r="K5" s="260"/>
      <c r="L5" s="260"/>
      <c r="M5" s="260"/>
      <c r="N5" s="260"/>
      <c r="O5" s="306"/>
      <c r="P5" s="313"/>
      <c r="Q5" s="261"/>
    </row>
    <row r="6" spans="1:19" ht="26.25" customHeight="1" thickBot="1">
      <c r="A6" s="288" t="s">
        <v>6</v>
      </c>
      <c r="B6" s="296" t="s">
        <v>31</v>
      </c>
      <c r="C6" s="292" t="s">
        <v>3627</v>
      </c>
      <c r="D6" s="292" t="s">
        <v>30</v>
      </c>
      <c r="E6" s="273" t="s">
        <v>12</v>
      </c>
      <c r="F6" s="280" t="s">
        <v>11</v>
      </c>
      <c r="G6" s="294" t="s">
        <v>1</v>
      </c>
      <c r="H6" s="275" t="s">
        <v>4</v>
      </c>
      <c r="I6" s="276"/>
      <c r="J6" s="290" t="s">
        <v>3870</v>
      </c>
      <c r="K6" s="284" t="s">
        <v>10</v>
      </c>
      <c r="L6" s="285"/>
      <c r="M6" s="286" t="s">
        <v>8</v>
      </c>
      <c r="N6" s="282" t="s">
        <v>3</v>
      </c>
      <c r="O6" s="307" t="s">
        <v>9</v>
      </c>
      <c r="P6" s="314" t="s">
        <v>29</v>
      </c>
      <c r="Q6" s="277" t="s">
        <v>13</v>
      </c>
      <c r="R6" s="278"/>
      <c r="S6" s="279"/>
    </row>
    <row r="7" spans="1:19" ht="27.75" customHeight="1">
      <c r="A7" s="289"/>
      <c r="B7" s="297"/>
      <c r="C7" s="293"/>
      <c r="D7" s="293"/>
      <c r="E7" s="274"/>
      <c r="F7" s="281"/>
      <c r="G7" s="295"/>
      <c r="H7" s="267" t="s">
        <v>3871</v>
      </c>
      <c r="I7" s="262" t="s">
        <v>2</v>
      </c>
      <c r="J7" s="291"/>
      <c r="K7" s="263" t="s">
        <v>7</v>
      </c>
      <c r="L7" s="263" t="s">
        <v>3872</v>
      </c>
      <c r="M7" s="287"/>
      <c r="N7" s="283"/>
      <c r="O7" s="308"/>
      <c r="P7" s="315"/>
      <c r="Q7" s="271" t="s">
        <v>3867</v>
      </c>
      <c r="R7" s="272" t="s">
        <v>3868</v>
      </c>
      <c r="S7" s="272" t="s">
        <v>3869</v>
      </c>
    </row>
  </sheetData>
  <mergeCells count="15">
    <mergeCell ref="A6:A7"/>
    <mergeCell ref="J6:J7"/>
    <mergeCell ref="C6:C7"/>
    <mergeCell ref="G6:G7"/>
    <mergeCell ref="B6:B7"/>
    <mergeCell ref="D6:D7"/>
    <mergeCell ref="P6:P7"/>
    <mergeCell ref="E6:E7"/>
    <mergeCell ref="H6:I6"/>
    <mergeCell ref="Q6:S6"/>
    <mergeCell ref="O6:O7"/>
    <mergeCell ref="F6:F7"/>
    <mergeCell ref="N6:N7"/>
    <mergeCell ref="K6:L6"/>
    <mergeCell ref="M6:M7"/>
  </mergeCells>
  <phoneticPr fontId="37" type="noConversion"/>
  <pageMargins left="0" right="0" top="0.23622047244094499" bottom="0" header="0.31496062992126" footer="0.31496062992126"/>
  <pageSetup paperSize="9" scale="50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6">
    <tabColor rgb="FF7030A0"/>
  </sheetPr>
  <dimension ref="A1:T1286"/>
  <sheetViews>
    <sheetView workbookViewId="0">
      <pane xSplit="4" ySplit="4" topLeftCell="G1211" activePane="bottomRight" state="frozen"/>
      <selection pane="topRight" activeCell="E1" sqref="E1"/>
      <selection pane="bottomLeft" activeCell="A5" sqref="A5"/>
      <selection pane="bottomRight" activeCell="F1160" sqref="F1160"/>
    </sheetView>
  </sheetViews>
  <sheetFormatPr defaultColWidth="18.42578125" defaultRowHeight="27.75" customHeight="1"/>
  <cols>
    <col min="1" max="1" width="2.42578125" style="9" customWidth="1"/>
    <col min="2" max="2" width="6.85546875" style="9" customWidth="1"/>
    <col min="3" max="4" width="15.28515625" style="13" customWidth="1"/>
    <col min="5" max="5" width="20.85546875" style="9" customWidth="1"/>
    <col min="6" max="6" width="25.28515625" style="203" customWidth="1"/>
    <col min="7" max="7" width="30.28515625" style="9" customWidth="1"/>
    <col min="8" max="8" width="20.85546875" style="9" customWidth="1"/>
    <col min="9" max="9" width="9.28515625" style="10" customWidth="1"/>
    <col min="10" max="10" width="16.7109375" style="182" customWidth="1"/>
    <col min="11" max="11" width="16.7109375" style="183" customWidth="1"/>
    <col min="12" max="12" width="16.7109375" style="184" customWidth="1"/>
    <col min="13" max="13" width="16.7109375" style="185" customWidth="1"/>
    <col min="14" max="14" width="15.42578125" style="11" customWidth="1"/>
    <col min="15" max="15" width="37.5703125" style="9" customWidth="1"/>
    <col min="16" max="16" width="17.85546875" style="12" customWidth="1"/>
    <col min="17" max="17" width="1.5703125" style="9" customWidth="1"/>
    <col min="18" max="21" width="9" style="9" customWidth="1"/>
    <col min="22" max="251" width="8" style="9" customWidth="1"/>
    <col min="252" max="252" width="2.28515625" style="9" customWidth="1"/>
    <col min="253" max="253" width="6.140625" style="9" customWidth="1"/>
    <col min="254" max="255" width="13.42578125" style="9" customWidth="1"/>
    <col min="256" max="16384" width="18.42578125" style="9"/>
  </cols>
  <sheetData>
    <row r="1" spans="1:20" s="1" customFormat="1" ht="40.15" customHeight="1">
      <c r="A1" s="298" t="s">
        <v>1237</v>
      </c>
      <c r="B1" s="298"/>
      <c r="C1" s="298"/>
      <c r="D1" s="298"/>
      <c r="E1" s="298"/>
      <c r="F1" s="298"/>
      <c r="G1" s="298"/>
      <c r="H1" s="298"/>
      <c r="I1" s="299"/>
      <c r="J1" s="299"/>
      <c r="K1" s="299"/>
      <c r="L1" s="299"/>
      <c r="M1" s="299"/>
      <c r="N1" s="298"/>
      <c r="O1" s="298"/>
      <c r="P1" s="298"/>
      <c r="Q1" s="298"/>
      <c r="S1" s="1" t="s">
        <v>1238</v>
      </c>
    </row>
    <row r="2" spans="1:20" s="6" customFormat="1" ht="31.15" customHeight="1">
      <c r="A2" s="300" t="s">
        <v>1239</v>
      </c>
      <c r="B2" s="300"/>
      <c r="C2" s="300"/>
      <c r="D2" s="301"/>
      <c r="E2" s="300"/>
      <c r="F2" s="300"/>
      <c r="G2" s="300"/>
      <c r="H2" s="2"/>
      <c r="I2" s="3"/>
      <c r="J2" s="3"/>
      <c r="K2" s="3"/>
      <c r="L2" s="3"/>
      <c r="M2" s="3"/>
      <c r="N2" s="4"/>
      <c r="O2" s="2"/>
      <c r="P2" s="5"/>
      <c r="T2" s="7" t="s">
        <v>1240</v>
      </c>
    </row>
    <row r="3" spans="1:20" ht="31.15" customHeight="1">
      <c r="A3" s="8" t="s">
        <v>1241</v>
      </c>
      <c r="B3" s="8"/>
      <c r="C3" s="239"/>
      <c r="D3" s="237"/>
      <c r="J3" s="10"/>
      <c r="K3" s="10"/>
      <c r="L3" s="10">
        <f>COUNTIF(L5:L1126,L1124)</f>
        <v>75</v>
      </c>
      <c r="M3" s="10">
        <f>COUNTIF($M$5:$M$1125,M564)</f>
        <v>91</v>
      </c>
    </row>
    <row r="4" spans="1:20" s="13" customFormat="1" ht="45.75" customHeight="1">
      <c r="B4" s="14" t="s">
        <v>1242</v>
      </c>
      <c r="C4" s="238" t="s">
        <v>1243</v>
      </c>
      <c r="D4" s="16" t="s">
        <v>1244</v>
      </c>
      <c r="E4" s="17" t="s">
        <v>32</v>
      </c>
      <c r="F4" s="14" t="s">
        <v>1230</v>
      </c>
      <c r="G4" s="14" t="s">
        <v>1245</v>
      </c>
      <c r="H4" s="15" t="s">
        <v>1246</v>
      </c>
      <c r="I4" s="18" t="s">
        <v>1213</v>
      </c>
      <c r="J4" s="19" t="s">
        <v>1247</v>
      </c>
      <c r="K4" s="20" t="s">
        <v>1248</v>
      </c>
      <c r="L4" s="21" t="s">
        <v>1249</v>
      </c>
      <c r="M4" s="22" t="s">
        <v>1250</v>
      </c>
      <c r="N4" s="23" t="s">
        <v>1251</v>
      </c>
      <c r="O4" s="14" t="s">
        <v>1252</v>
      </c>
      <c r="P4" s="24" t="s">
        <v>1253</v>
      </c>
    </row>
    <row r="5" spans="1:20" ht="27.75" customHeight="1">
      <c r="B5" s="25">
        <v>1</v>
      </c>
      <c r="C5" s="42" t="s">
        <v>1075</v>
      </c>
      <c r="D5" s="17" t="s">
        <v>1075</v>
      </c>
      <c r="E5" s="26" t="e">
        <f>VLOOKUP(C5,#REF!,3,0)</f>
        <v>#REF!</v>
      </c>
      <c r="F5" s="204" t="s">
        <v>1254</v>
      </c>
      <c r="G5" s="25" t="s">
        <v>1255</v>
      </c>
      <c r="H5" s="25"/>
      <c r="I5" s="27">
        <v>8</v>
      </c>
      <c r="J5" s="28" t="s">
        <v>1256</v>
      </c>
      <c r="K5" s="29"/>
      <c r="L5" s="30"/>
      <c r="M5" s="31"/>
      <c r="N5" s="32">
        <v>300</v>
      </c>
      <c r="O5" s="33" t="s">
        <v>1257</v>
      </c>
      <c r="P5" s="34" t="s">
        <v>1258</v>
      </c>
    </row>
    <row r="6" spans="1:20" ht="27.75" customHeight="1">
      <c r="B6" s="25">
        <f>B5+1</f>
        <v>2</v>
      </c>
      <c r="C6" s="42" t="s">
        <v>1076</v>
      </c>
      <c r="D6" s="17" t="s">
        <v>1076</v>
      </c>
      <c r="E6" s="26" t="e">
        <f>VLOOKUP(C6,#REF!,3,0)</f>
        <v>#REF!</v>
      </c>
      <c r="F6" s="204" t="s">
        <v>1259</v>
      </c>
      <c r="G6" s="25" t="s">
        <v>1255</v>
      </c>
      <c r="H6" s="25"/>
      <c r="I6" s="27">
        <v>4</v>
      </c>
      <c r="J6" s="28" t="s">
        <v>1256</v>
      </c>
      <c r="K6" s="29"/>
      <c r="L6" s="30"/>
      <c r="M6" s="31"/>
      <c r="N6" s="32">
        <v>300</v>
      </c>
      <c r="O6" s="33" t="s">
        <v>1257</v>
      </c>
      <c r="P6" s="34" t="s">
        <v>1258</v>
      </c>
    </row>
    <row r="7" spans="1:20" ht="27.75" customHeight="1">
      <c r="B7" s="25">
        <f t="shared" ref="B7:B70" si="0">B6+1</f>
        <v>3</v>
      </c>
      <c r="C7" s="42" t="s">
        <v>1061</v>
      </c>
      <c r="D7" s="17" t="s">
        <v>1061</v>
      </c>
      <c r="E7" s="26" t="e">
        <f>VLOOKUP(C7,#REF!,3,0)</f>
        <v>#REF!</v>
      </c>
      <c r="F7" s="204" t="s">
        <v>1260</v>
      </c>
      <c r="G7" s="25" t="s">
        <v>1261</v>
      </c>
      <c r="H7" s="25"/>
      <c r="I7" s="27">
        <v>4</v>
      </c>
      <c r="J7" s="28" t="s">
        <v>1256</v>
      </c>
      <c r="K7" s="29"/>
      <c r="L7" s="30"/>
      <c r="M7" s="31"/>
      <c r="N7" s="32">
        <v>300</v>
      </c>
      <c r="O7" s="25" t="s">
        <v>1257</v>
      </c>
      <c r="P7" s="34" t="s">
        <v>1258</v>
      </c>
    </row>
    <row r="8" spans="1:20" ht="27.75" customHeight="1">
      <c r="B8" s="25">
        <f t="shared" si="0"/>
        <v>4</v>
      </c>
      <c r="C8" s="42" t="s">
        <v>906</v>
      </c>
      <c r="D8" s="17" t="s">
        <v>906</v>
      </c>
      <c r="E8" s="26" t="e">
        <f>VLOOKUP(C8,#REF!,3,0)</f>
        <v>#REF!</v>
      </c>
      <c r="F8" s="204" t="s">
        <v>1262</v>
      </c>
      <c r="G8" s="25" t="s">
        <v>1263</v>
      </c>
      <c r="H8" s="33" t="s">
        <v>1264</v>
      </c>
      <c r="I8" s="27">
        <v>2</v>
      </c>
      <c r="J8" s="28" t="s">
        <v>1256</v>
      </c>
      <c r="K8" s="29"/>
      <c r="L8" s="30"/>
      <c r="M8" s="31"/>
      <c r="N8" s="32">
        <v>300</v>
      </c>
      <c r="O8" s="25" t="s">
        <v>1257</v>
      </c>
      <c r="P8" s="34" t="s">
        <v>1258</v>
      </c>
    </row>
    <row r="9" spans="1:20" ht="27.75" customHeight="1">
      <c r="B9" s="25">
        <f t="shared" si="0"/>
        <v>5</v>
      </c>
      <c r="C9" s="42" t="s">
        <v>1120</v>
      </c>
      <c r="D9" s="17" t="s">
        <v>1120</v>
      </c>
      <c r="E9" s="26" t="e">
        <f>VLOOKUP(C9,#REF!,3,0)</f>
        <v>#REF!</v>
      </c>
      <c r="F9" s="204" t="s">
        <v>1265</v>
      </c>
      <c r="G9" s="25" t="s">
        <v>1266</v>
      </c>
      <c r="H9" s="25" t="s">
        <v>1215</v>
      </c>
      <c r="I9" s="27">
        <v>4</v>
      </c>
      <c r="J9" s="28" t="s">
        <v>1256</v>
      </c>
      <c r="K9" s="29"/>
      <c r="L9" s="30"/>
      <c r="M9" s="31"/>
      <c r="N9" s="32">
        <v>300</v>
      </c>
      <c r="O9" s="25" t="s">
        <v>1257</v>
      </c>
      <c r="P9" s="34" t="s">
        <v>1258</v>
      </c>
    </row>
    <row r="10" spans="1:20" ht="27.75" customHeight="1">
      <c r="B10" s="25">
        <f t="shared" si="0"/>
        <v>6</v>
      </c>
      <c r="C10" s="42" t="s">
        <v>1110</v>
      </c>
      <c r="D10" s="17" t="s">
        <v>1110</v>
      </c>
      <c r="E10" s="26" t="e">
        <f>VLOOKUP(C10,#REF!,3,0)</f>
        <v>#REF!</v>
      </c>
      <c r="F10" s="204" t="s">
        <v>1267</v>
      </c>
      <c r="G10" s="25" t="s">
        <v>1268</v>
      </c>
      <c r="H10" s="25" t="s">
        <v>1215</v>
      </c>
      <c r="I10" s="27">
        <v>2</v>
      </c>
      <c r="J10" s="28" t="s">
        <v>1256</v>
      </c>
      <c r="K10" s="29"/>
      <c r="L10" s="30"/>
      <c r="M10" s="31"/>
      <c r="N10" s="32">
        <v>300</v>
      </c>
      <c r="O10" s="25" t="s">
        <v>1257</v>
      </c>
      <c r="P10" s="34" t="s">
        <v>1258</v>
      </c>
    </row>
    <row r="11" spans="1:20" ht="27.75" customHeight="1">
      <c r="B11" s="25">
        <f t="shared" si="0"/>
        <v>7</v>
      </c>
      <c r="C11" s="42" t="s">
        <v>1113</v>
      </c>
      <c r="D11" s="17" t="s">
        <v>1113</v>
      </c>
      <c r="E11" s="26" t="e">
        <f>VLOOKUP(C11,#REF!,3,0)</f>
        <v>#REF!</v>
      </c>
      <c r="F11" s="204" t="s">
        <v>1269</v>
      </c>
      <c r="G11" s="25" t="s">
        <v>1270</v>
      </c>
      <c r="H11" s="25" t="s">
        <v>1215</v>
      </c>
      <c r="I11" s="27">
        <v>2</v>
      </c>
      <c r="J11" s="28" t="s">
        <v>1256</v>
      </c>
      <c r="K11" s="29"/>
      <c r="L11" s="30"/>
      <c r="M11" s="31"/>
      <c r="N11" s="32">
        <v>300</v>
      </c>
      <c r="O11" s="25" t="s">
        <v>1257</v>
      </c>
      <c r="P11" s="34" t="s">
        <v>1258</v>
      </c>
    </row>
    <row r="12" spans="1:20" ht="27.75" customHeight="1">
      <c r="B12" s="25">
        <f t="shared" si="0"/>
        <v>8</v>
      </c>
      <c r="C12" s="42" t="s">
        <v>1112</v>
      </c>
      <c r="D12" s="17" t="s">
        <v>1112</v>
      </c>
      <c r="E12" s="26" t="e">
        <f>VLOOKUP(C12,#REF!,3,0)</f>
        <v>#REF!</v>
      </c>
      <c r="F12" s="204" t="s">
        <v>1271</v>
      </c>
      <c r="G12" s="25" t="s">
        <v>1272</v>
      </c>
      <c r="H12" s="25" t="s">
        <v>1215</v>
      </c>
      <c r="I12" s="27">
        <v>2</v>
      </c>
      <c r="J12" s="28" t="s">
        <v>1256</v>
      </c>
      <c r="K12" s="29"/>
      <c r="L12" s="30"/>
      <c r="M12" s="31"/>
      <c r="N12" s="32">
        <v>300</v>
      </c>
      <c r="O12" s="25" t="s">
        <v>1257</v>
      </c>
      <c r="P12" s="34" t="s">
        <v>1258</v>
      </c>
    </row>
    <row r="13" spans="1:20" ht="27.75" customHeight="1">
      <c r="B13" s="25">
        <f t="shared" si="0"/>
        <v>9</v>
      </c>
      <c r="C13" s="42" t="s">
        <v>900</v>
      </c>
      <c r="D13" s="17" t="s">
        <v>900</v>
      </c>
      <c r="E13" s="26" t="e">
        <f>VLOOKUP(C13,#REF!,3,0)</f>
        <v>#REF!</v>
      </c>
      <c r="F13" s="205" t="s">
        <v>1273</v>
      </c>
      <c r="G13" s="25" t="s">
        <v>1274</v>
      </c>
      <c r="H13" s="25" t="s">
        <v>1275</v>
      </c>
      <c r="I13" s="35">
        <v>4</v>
      </c>
      <c r="J13" s="36" t="s">
        <v>1256</v>
      </c>
      <c r="K13" s="37"/>
      <c r="L13" s="38"/>
      <c r="M13" s="39"/>
      <c r="N13" s="32">
        <v>300</v>
      </c>
      <c r="O13" s="25" t="s">
        <v>1257</v>
      </c>
      <c r="P13" s="34" t="s">
        <v>1276</v>
      </c>
    </row>
    <row r="14" spans="1:20" ht="27.75" customHeight="1">
      <c r="B14" s="25">
        <f t="shared" si="0"/>
        <v>10</v>
      </c>
      <c r="C14" s="42" t="s">
        <v>946</v>
      </c>
      <c r="D14" s="17" t="s">
        <v>946</v>
      </c>
      <c r="E14" s="26" t="e">
        <f>VLOOKUP(C14,#REF!,3,0)</f>
        <v>#REF!</v>
      </c>
      <c r="F14" s="205" t="s">
        <v>1277</v>
      </c>
      <c r="G14" s="25" t="s">
        <v>1278</v>
      </c>
      <c r="H14" s="25" t="s">
        <v>1215</v>
      </c>
      <c r="I14" s="35">
        <v>2</v>
      </c>
      <c r="J14" s="36" t="s">
        <v>1256</v>
      </c>
      <c r="K14" s="37"/>
      <c r="L14" s="38"/>
      <c r="M14" s="39"/>
      <c r="N14" s="32">
        <v>300</v>
      </c>
      <c r="O14" s="25" t="s">
        <v>1257</v>
      </c>
      <c r="P14" s="34" t="s">
        <v>1279</v>
      </c>
    </row>
    <row r="15" spans="1:20" ht="27.75" customHeight="1">
      <c r="B15" s="25">
        <f t="shared" si="0"/>
        <v>11</v>
      </c>
      <c r="C15" s="42" t="s">
        <v>945</v>
      </c>
      <c r="D15" s="17" t="s">
        <v>945</v>
      </c>
      <c r="E15" s="26" t="e">
        <f>VLOOKUP(C15,#REF!,3,0)</f>
        <v>#REF!</v>
      </c>
      <c r="F15" s="205" t="s">
        <v>1280</v>
      </c>
      <c r="G15" s="25" t="s">
        <v>1281</v>
      </c>
      <c r="H15" s="25"/>
      <c r="I15" s="35">
        <v>8</v>
      </c>
      <c r="J15" s="36" t="s">
        <v>1256</v>
      </c>
      <c r="K15" s="37"/>
      <c r="L15" s="38"/>
      <c r="M15" s="39"/>
      <c r="N15" s="32">
        <v>300</v>
      </c>
      <c r="O15" s="25" t="s">
        <v>1257</v>
      </c>
      <c r="P15" s="34" t="s">
        <v>1282</v>
      </c>
    </row>
    <row r="16" spans="1:20" ht="27.75" customHeight="1">
      <c r="B16" s="25">
        <f t="shared" si="0"/>
        <v>12</v>
      </c>
      <c r="C16" s="42" t="s">
        <v>145</v>
      </c>
      <c r="D16" s="17" t="s">
        <v>145</v>
      </c>
      <c r="E16" s="26" t="e">
        <f>VLOOKUP(C16,#REF!,3,0)</f>
        <v>#REF!</v>
      </c>
      <c r="F16" s="205" t="s">
        <v>1283</v>
      </c>
      <c r="G16" s="25" t="s">
        <v>1284</v>
      </c>
      <c r="H16" s="25" t="s">
        <v>1275</v>
      </c>
      <c r="I16" s="35">
        <v>8</v>
      </c>
      <c r="J16" s="36" t="s">
        <v>1256</v>
      </c>
      <c r="K16" s="37"/>
      <c r="L16" s="38"/>
      <c r="M16" s="39"/>
      <c r="N16" s="32">
        <v>300</v>
      </c>
      <c r="O16" s="25" t="s">
        <v>1257</v>
      </c>
      <c r="P16" s="34" t="s">
        <v>1276</v>
      </c>
    </row>
    <row r="17" spans="2:16" ht="27.75" customHeight="1">
      <c r="B17" s="25">
        <f t="shared" si="0"/>
        <v>13</v>
      </c>
      <c r="C17" s="42" t="s">
        <v>287</v>
      </c>
      <c r="D17" s="17" t="s">
        <v>287</v>
      </c>
      <c r="E17" s="26" t="e">
        <f>VLOOKUP(C17,#REF!,3,0)</f>
        <v>#REF!</v>
      </c>
      <c r="F17" s="205" t="s">
        <v>1285</v>
      </c>
      <c r="G17" s="25" t="s">
        <v>1286</v>
      </c>
      <c r="H17" s="25" t="s">
        <v>1215</v>
      </c>
      <c r="I17" s="35">
        <v>4</v>
      </c>
      <c r="J17" s="36" t="s">
        <v>1256</v>
      </c>
      <c r="K17" s="37"/>
      <c r="L17" s="38"/>
      <c r="M17" s="39"/>
      <c r="N17" s="32">
        <v>300</v>
      </c>
      <c r="O17" s="25" t="s">
        <v>1257</v>
      </c>
      <c r="P17" s="34" t="s">
        <v>1287</v>
      </c>
    </row>
    <row r="18" spans="2:16" ht="27.75" customHeight="1">
      <c r="B18" s="25">
        <f t="shared" si="0"/>
        <v>14</v>
      </c>
      <c r="C18" s="42" t="s">
        <v>1092</v>
      </c>
      <c r="D18" s="17" t="s">
        <v>1092</v>
      </c>
      <c r="E18" s="26" t="e">
        <f>VLOOKUP(C18,#REF!,3,0)</f>
        <v>#REF!</v>
      </c>
      <c r="F18" s="205" t="s">
        <v>1288</v>
      </c>
      <c r="G18" s="25" t="s">
        <v>1289</v>
      </c>
      <c r="H18" s="25" t="s">
        <v>1215</v>
      </c>
      <c r="I18" s="35">
        <v>1</v>
      </c>
      <c r="J18" s="36" t="s">
        <v>1256</v>
      </c>
      <c r="K18" s="37"/>
      <c r="L18" s="38"/>
      <c r="M18" s="39"/>
      <c r="N18" s="32">
        <v>300</v>
      </c>
      <c r="O18" s="25" t="s">
        <v>1290</v>
      </c>
      <c r="P18" s="34" t="s">
        <v>1258</v>
      </c>
    </row>
    <row r="19" spans="2:16" ht="27.75" customHeight="1">
      <c r="B19" s="25">
        <f t="shared" si="0"/>
        <v>15</v>
      </c>
      <c r="C19" s="42" t="s">
        <v>93</v>
      </c>
      <c r="D19" s="17" t="s">
        <v>93</v>
      </c>
      <c r="E19" s="26" t="e">
        <f>VLOOKUP(C19,#REF!,3,0)</f>
        <v>#REF!</v>
      </c>
      <c r="F19" s="205" t="s">
        <v>1291</v>
      </c>
      <c r="G19" s="25" t="s">
        <v>1292</v>
      </c>
      <c r="H19" s="25" t="s">
        <v>1215</v>
      </c>
      <c r="I19" s="35">
        <v>2</v>
      </c>
      <c r="J19" s="36"/>
      <c r="K19" s="37"/>
      <c r="L19" s="38"/>
      <c r="M19" s="39" t="s">
        <v>1250</v>
      </c>
      <c r="N19" s="32">
        <v>300</v>
      </c>
      <c r="O19" s="25" t="s">
        <v>1290</v>
      </c>
      <c r="P19" s="34" t="s">
        <v>1293</v>
      </c>
    </row>
    <row r="20" spans="2:16" ht="27.75" customHeight="1">
      <c r="B20" s="25">
        <f t="shared" si="0"/>
        <v>16</v>
      </c>
      <c r="C20" s="42" t="s">
        <v>899</v>
      </c>
      <c r="D20" s="17" t="s">
        <v>899</v>
      </c>
      <c r="E20" s="26" t="e">
        <f>VLOOKUP(C20,#REF!,3,0)</f>
        <v>#REF!</v>
      </c>
      <c r="F20" s="205" t="s">
        <v>1294</v>
      </c>
      <c r="G20" s="25" t="s">
        <v>1295</v>
      </c>
      <c r="H20" s="25" t="s">
        <v>1275</v>
      </c>
      <c r="I20" s="35">
        <v>2</v>
      </c>
      <c r="J20" s="36" t="s">
        <v>1256</v>
      </c>
      <c r="K20" s="37"/>
      <c r="L20" s="38"/>
      <c r="M20" s="39"/>
      <c r="N20" s="32">
        <v>300</v>
      </c>
      <c r="O20" s="25" t="s">
        <v>1257</v>
      </c>
      <c r="P20" s="34" t="s">
        <v>1296</v>
      </c>
    </row>
    <row r="21" spans="2:16" ht="27.75" customHeight="1">
      <c r="B21" s="25">
        <f t="shared" si="0"/>
        <v>17</v>
      </c>
      <c r="C21" s="42" t="s">
        <v>92</v>
      </c>
      <c r="D21" s="17" t="s">
        <v>92</v>
      </c>
      <c r="E21" s="26" t="e">
        <f>VLOOKUP(C21,#REF!,3,0)</f>
        <v>#REF!</v>
      </c>
      <c r="F21" s="205"/>
      <c r="G21" s="25" t="s">
        <v>1297</v>
      </c>
      <c r="H21" s="25" t="s">
        <v>1275</v>
      </c>
      <c r="I21" s="35">
        <v>2</v>
      </c>
      <c r="J21" s="36"/>
      <c r="K21" s="37"/>
      <c r="L21" s="38"/>
      <c r="M21" s="39" t="s">
        <v>1250</v>
      </c>
      <c r="N21" s="32">
        <v>300</v>
      </c>
      <c r="O21" s="25" t="s">
        <v>1257</v>
      </c>
      <c r="P21" s="34" t="s">
        <v>1298</v>
      </c>
    </row>
    <row r="22" spans="2:16" ht="27.75" customHeight="1">
      <c r="B22" s="25">
        <f t="shared" si="0"/>
        <v>18</v>
      </c>
      <c r="C22" s="42" t="s">
        <v>1002</v>
      </c>
      <c r="D22" s="17" t="s">
        <v>1002</v>
      </c>
      <c r="E22" s="26" t="e">
        <f>VLOOKUP(C22,#REF!,3,0)</f>
        <v>#REF!</v>
      </c>
      <c r="F22" s="205" t="s">
        <v>1299</v>
      </c>
      <c r="G22" s="25" t="s">
        <v>1300</v>
      </c>
      <c r="H22" s="25" t="s">
        <v>1275</v>
      </c>
      <c r="I22" s="35">
        <v>2</v>
      </c>
      <c r="J22" s="36" t="s">
        <v>1256</v>
      </c>
      <c r="K22" s="37"/>
      <c r="L22" s="38"/>
      <c r="M22" s="39"/>
      <c r="N22" s="32">
        <v>300</v>
      </c>
      <c r="O22" s="25" t="s">
        <v>1301</v>
      </c>
      <c r="P22" s="34" t="s">
        <v>1302</v>
      </c>
    </row>
    <row r="23" spans="2:16" ht="27.75" customHeight="1">
      <c r="B23" s="25">
        <f t="shared" si="0"/>
        <v>19</v>
      </c>
      <c r="C23" s="42" t="s">
        <v>319</v>
      </c>
      <c r="D23" s="17" t="s">
        <v>319</v>
      </c>
      <c r="E23" s="26" t="e">
        <f>VLOOKUP(C23,#REF!,3,0)</f>
        <v>#REF!</v>
      </c>
      <c r="F23" s="205" t="s">
        <v>1303</v>
      </c>
      <c r="G23" s="40" t="s">
        <v>1304</v>
      </c>
      <c r="H23" s="40" t="s">
        <v>1215</v>
      </c>
      <c r="I23" s="35">
        <v>2</v>
      </c>
      <c r="J23" s="36" t="s">
        <v>1256</v>
      </c>
      <c r="K23" s="37"/>
      <c r="L23" s="38"/>
      <c r="M23" s="39"/>
      <c r="N23" s="32">
        <v>300</v>
      </c>
      <c r="O23" s="40" t="s">
        <v>1257</v>
      </c>
      <c r="P23" s="41" t="s">
        <v>1305</v>
      </c>
    </row>
    <row r="24" spans="2:16" ht="27.75" customHeight="1">
      <c r="B24" s="25">
        <f t="shared" si="0"/>
        <v>20</v>
      </c>
      <c r="C24" s="42" t="s">
        <v>318</v>
      </c>
      <c r="D24" s="17" t="s">
        <v>318</v>
      </c>
      <c r="E24" s="26" t="e">
        <f>VLOOKUP(C24,#REF!,3,0)</f>
        <v>#REF!</v>
      </c>
      <c r="F24" s="205" t="s">
        <v>1306</v>
      </c>
      <c r="G24" s="40" t="s">
        <v>1307</v>
      </c>
      <c r="H24" s="40" t="s">
        <v>1215</v>
      </c>
      <c r="I24" s="35">
        <v>2</v>
      </c>
      <c r="J24" s="36" t="s">
        <v>1256</v>
      </c>
      <c r="K24" s="37"/>
      <c r="L24" s="38"/>
      <c r="M24" s="39"/>
      <c r="N24" s="32">
        <v>300</v>
      </c>
      <c r="O24" s="40" t="s">
        <v>1301</v>
      </c>
      <c r="P24" s="41" t="s">
        <v>1308</v>
      </c>
    </row>
    <row r="25" spans="2:16" ht="27.75" customHeight="1">
      <c r="B25" s="25">
        <f t="shared" si="0"/>
        <v>21</v>
      </c>
      <c r="C25" s="42" t="s">
        <v>753</v>
      </c>
      <c r="D25" s="17" t="s">
        <v>753</v>
      </c>
      <c r="E25" s="26" t="e">
        <f>VLOOKUP(C25,#REF!,3,0)</f>
        <v>#REF!</v>
      </c>
      <c r="F25" s="205"/>
      <c r="G25" s="25" t="s">
        <v>1309</v>
      </c>
      <c r="H25" s="25"/>
      <c r="I25" s="27">
        <v>2</v>
      </c>
      <c r="J25" s="28" t="s">
        <v>1256</v>
      </c>
      <c r="K25" s="29"/>
      <c r="L25" s="30"/>
      <c r="M25" s="31"/>
      <c r="N25" s="32">
        <v>300</v>
      </c>
      <c r="O25" s="25" t="s">
        <v>1310</v>
      </c>
      <c r="P25" s="34" t="s">
        <v>1311</v>
      </c>
    </row>
    <row r="26" spans="2:16" ht="27.75" customHeight="1">
      <c r="B26" s="25">
        <f t="shared" si="0"/>
        <v>22</v>
      </c>
      <c r="C26" s="42" t="s">
        <v>1028</v>
      </c>
      <c r="D26" s="42" t="s">
        <v>1028</v>
      </c>
      <c r="E26" s="26" t="e">
        <f>VLOOKUP(C26,#REF!,3,0)</f>
        <v>#REF!</v>
      </c>
      <c r="F26" s="206"/>
      <c r="G26" s="35" t="s">
        <v>1312</v>
      </c>
      <c r="H26" s="35" t="s">
        <v>1215</v>
      </c>
      <c r="I26" s="27">
        <v>2</v>
      </c>
      <c r="J26" s="28" t="s">
        <v>1256</v>
      </c>
      <c r="K26" s="29"/>
      <c r="L26" s="30"/>
      <c r="M26" s="31"/>
      <c r="N26" s="32">
        <v>300</v>
      </c>
      <c r="O26" s="35" t="s">
        <v>1310</v>
      </c>
      <c r="P26" s="43" t="s">
        <v>1313</v>
      </c>
    </row>
    <row r="27" spans="2:16" ht="27.75" customHeight="1">
      <c r="B27" s="25">
        <f t="shared" si="0"/>
        <v>23</v>
      </c>
      <c r="C27" s="42" t="s">
        <v>804</v>
      </c>
      <c r="D27" s="17" t="s">
        <v>804</v>
      </c>
      <c r="E27" s="26" t="e">
        <f>VLOOKUP(C27,#REF!,3,0)</f>
        <v>#REF!</v>
      </c>
      <c r="F27" s="234" t="s">
        <v>3771</v>
      </c>
      <c r="G27" s="25" t="s">
        <v>1314</v>
      </c>
      <c r="H27" s="35" t="s">
        <v>1215</v>
      </c>
      <c r="I27" s="27">
        <v>2</v>
      </c>
      <c r="J27" s="28" t="s">
        <v>1256</v>
      </c>
      <c r="K27" s="29"/>
      <c r="L27" s="30"/>
      <c r="M27" s="31"/>
      <c r="N27" s="32">
        <v>300</v>
      </c>
      <c r="O27" s="25" t="s">
        <v>1310</v>
      </c>
      <c r="P27" s="34" t="s">
        <v>1315</v>
      </c>
    </row>
    <row r="28" spans="2:16" ht="27.75" customHeight="1">
      <c r="B28" s="25">
        <f t="shared" si="0"/>
        <v>24</v>
      </c>
      <c r="C28" s="42" t="s">
        <v>908</v>
      </c>
      <c r="D28" s="17" t="s">
        <v>908</v>
      </c>
      <c r="E28" s="26" t="e">
        <f>VLOOKUP(C28,#REF!,3,0)</f>
        <v>#REF!</v>
      </c>
      <c r="F28" s="205" t="s">
        <v>1316</v>
      </c>
      <c r="G28" s="40" t="s">
        <v>1317</v>
      </c>
      <c r="H28" s="40"/>
      <c r="I28" s="35">
        <v>2</v>
      </c>
      <c r="J28" s="36" t="s">
        <v>1256</v>
      </c>
      <c r="K28" s="37"/>
      <c r="L28" s="38"/>
      <c r="M28" s="39"/>
      <c r="N28" s="32">
        <v>300</v>
      </c>
      <c r="O28" s="40" t="s">
        <v>1257</v>
      </c>
      <c r="P28" s="41" t="s">
        <v>1318</v>
      </c>
    </row>
    <row r="29" spans="2:16" ht="27.75" customHeight="1">
      <c r="B29" s="25">
        <f t="shared" si="0"/>
        <v>25</v>
      </c>
      <c r="C29" s="42" t="s">
        <v>309</v>
      </c>
      <c r="D29" s="17" t="s">
        <v>309</v>
      </c>
      <c r="E29" s="26" t="e">
        <f>VLOOKUP(C29,#REF!,3,0)</f>
        <v>#REF!</v>
      </c>
      <c r="F29" s="205"/>
      <c r="G29" s="25" t="s">
        <v>1319</v>
      </c>
      <c r="H29" s="25"/>
      <c r="I29" s="27">
        <v>2</v>
      </c>
      <c r="J29" s="28" t="s">
        <v>1256</v>
      </c>
      <c r="K29" s="29"/>
      <c r="L29" s="30"/>
      <c r="M29" s="31"/>
      <c r="N29" s="32">
        <v>300</v>
      </c>
      <c r="O29" s="25" t="s">
        <v>1310</v>
      </c>
      <c r="P29" s="34" t="s">
        <v>1320</v>
      </c>
    </row>
    <row r="30" spans="2:16" ht="27.75" customHeight="1">
      <c r="B30" s="25">
        <f t="shared" si="0"/>
        <v>26</v>
      </c>
      <c r="C30" s="42" t="s">
        <v>196</v>
      </c>
      <c r="D30" s="17" t="s">
        <v>196</v>
      </c>
      <c r="E30" s="26" t="e">
        <f>VLOOKUP(C30,#REF!,3,0)</f>
        <v>#REF!</v>
      </c>
      <c r="F30" s="205"/>
      <c r="G30" s="25" t="s">
        <v>1321</v>
      </c>
      <c r="H30" s="25"/>
      <c r="I30" s="27">
        <v>2</v>
      </c>
      <c r="J30" s="28" t="s">
        <v>1256</v>
      </c>
      <c r="K30" s="29"/>
      <c r="L30" s="30"/>
      <c r="M30" s="31"/>
      <c r="N30" s="32">
        <v>300</v>
      </c>
      <c r="O30" s="25" t="s">
        <v>1310</v>
      </c>
      <c r="P30" s="34" t="s">
        <v>1322</v>
      </c>
    </row>
    <row r="31" spans="2:16" ht="27.75" customHeight="1">
      <c r="B31" s="25">
        <f t="shared" si="0"/>
        <v>27</v>
      </c>
      <c r="C31" s="42" t="s">
        <v>239</v>
      </c>
      <c r="D31" s="17" t="s">
        <v>239</v>
      </c>
      <c r="E31" s="26" t="e">
        <f>VLOOKUP(C31,#REF!,3,0)</f>
        <v>#REF!</v>
      </c>
      <c r="F31" s="205" t="s">
        <v>1323</v>
      </c>
      <c r="G31" s="25" t="s">
        <v>1324</v>
      </c>
      <c r="H31" s="25"/>
      <c r="I31" s="35">
        <v>2</v>
      </c>
      <c r="J31" s="36" t="s">
        <v>1256</v>
      </c>
      <c r="K31" s="37"/>
      <c r="L31" s="38"/>
      <c r="M31" s="39"/>
      <c r="N31" s="32">
        <v>300</v>
      </c>
      <c r="O31" s="25" t="s">
        <v>1257</v>
      </c>
      <c r="P31" s="34" t="s">
        <v>1325</v>
      </c>
    </row>
    <row r="32" spans="2:16" ht="27.75" customHeight="1">
      <c r="B32" s="25">
        <f t="shared" si="0"/>
        <v>28</v>
      </c>
      <c r="C32" s="42" t="s">
        <v>1069</v>
      </c>
      <c r="D32" s="17" t="s">
        <v>1069</v>
      </c>
      <c r="E32" s="26" t="e">
        <f>VLOOKUP(C32,#REF!,3,0)</f>
        <v>#REF!</v>
      </c>
      <c r="F32" s="205" t="s">
        <v>1326</v>
      </c>
      <c r="G32" s="40" t="s">
        <v>1327</v>
      </c>
      <c r="H32" s="40" t="s">
        <v>1215</v>
      </c>
      <c r="I32" s="35">
        <v>2</v>
      </c>
      <c r="J32" s="36" t="s">
        <v>1256</v>
      </c>
      <c r="K32" s="37"/>
      <c r="L32" s="38"/>
      <c r="M32" s="39"/>
      <c r="N32" s="32">
        <v>300</v>
      </c>
      <c r="O32" s="40" t="s">
        <v>1257</v>
      </c>
      <c r="P32" s="41" t="s">
        <v>1328</v>
      </c>
    </row>
    <row r="33" spans="2:16" ht="27.75" customHeight="1">
      <c r="B33" s="25">
        <f t="shared" si="0"/>
        <v>29</v>
      </c>
      <c r="C33" s="42" t="s">
        <v>1114</v>
      </c>
      <c r="D33" s="42" t="s">
        <v>1114</v>
      </c>
      <c r="E33" s="26" t="e">
        <f>VLOOKUP(C33,#REF!,3,0)</f>
        <v>#REF!</v>
      </c>
      <c r="F33" s="206"/>
      <c r="G33" s="35" t="s">
        <v>1329</v>
      </c>
      <c r="H33" s="40" t="s">
        <v>1330</v>
      </c>
      <c r="I33" s="35">
        <v>1</v>
      </c>
      <c r="J33" s="36" t="s">
        <v>1256</v>
      </c>
      <c r="K33" s="37"/>
      <c r="L33" s="38"/>
      <c r="M33" s="39"/>
      <c r="N33" s="32">
        <v>300</v>
      </c>
      <c r="O33" s="35" t="s">
        <v>1310</v>
      </c>
      <c r="P33" s="43" t="s">
        <v>1331</v>
      </c>
    </row>
    <row r="34" spans="2:16" ht="27.75" customHeight="1">
      <c r="B34" s="25">
        <f t="shared" si="0"/>
        <v>30</v>
      </c>
      <c r="C34" s="42" t="s">
        <v>1052</v>
      </c>
      <c r="D34" s="42" t="s">
        <v>1052</v>
      </c>
      <c r="E34" s="26" t="e">
        <f>VLOOKUP(C34,#REF!,3,0)</f>
        <v>#REF!</v>
      </c>
      <c r="F34" s="206" t="s">
        <v>1332</v>
      </c>
      <c r="G34" s="35" t="s">
        <v>1333</v>
      </c>
      <c r="H34" s="35" t="s">
        <v>1264</v>
      </c>
      <c r="I34" s="35">
        <v>2</v>
      </c>
      <c r="J34" s="36" t="s">
        <v>1256</v>
      </c>
      <c r="K34" s="37"/>
      <c r="L34" s="38"/>
      <c r="M34" s="39"/>
      <c r="N34" s="32">
        <v>300</v>
      </c>
      <c r="O34" s="35" t="s">
        <v>1290</v>
      </c>
      <c r="P34" s="43" t="s">
        <v>1334</v>
      </c>
    </row>
    <row r="35" spans="2:16" ht="27.75" customHeight="1">
      <c r="B35" s="25">
        <f t="shared" si="0"/>
        <v>31</v>
      </c>
      <c r="C35" s="42" t="s">
        <v>201</v>
      </c>
      <c r="D35" s="42" t="s">
        <v>201</v>
      </c>
      <c r="E35" s="26" t="e">
        <f>VLOOKUP(C35,#REF!,3,0)</f>
        <v>#REF!</v>
      </c>
      <c r="F35" s="206" t="s">
        <v>1335</v>
      </c>
      <c r="G35" s="35" t="s">
        <v>1336</v>
      </c>
      <c r="H35" s="35" t="s">
        <v>1215</v>
      </c>
      <c r="I35" s="35">
        <v>4</v>
      </c>
      <c r="J35" s="36" t="s">
        <v>1256</v>
      </c>
      <c r="K35" s="37"/>
      <c r="L35" s="38"/>
      <c r="M35" s="39"/>
      <c r="N35" s="32">
        <v>300</v>
      </c>
      <c r="O35" s="35" t="s">
        <v>1257</v>
      </c>
      <c r="P35" s="43" t="s">
        <v>1337</v>
      </c>
    </row>
    <row r="36" spans="2:16" ht="27.75" customHeight="1">
      <c r="B36" s="25">
        <f t="shared" si="0"/>
        <v>32</v>
      </c>
      <c r="C36" s="42" t="s">
        <v>910</v>
      </c>
      <c r="D36" s="42" t="s">
        <v>910</v>
      </c>
      <c r="E36" s="26" t="e">
        <f>VLOOKUP(C36,#REF!,3,0)</f>
        <v>#REF!</v>
      </c>
      <c r="F36" s="206" t="s">
        <v>1338</v>
      </c>
      <c r="G36" s="40" t="s">
        <v>1339</v>
      </c>
      <c r="H36" s="35" t="s">
        <v>1215</v>
      </c>
      <c r="I36" s="35">
        <v>2</v>
      </c>
      <c r="J36" s="36" t="s">
        <v>1256</v>
      </c>
      <c r="K36" s="37"/>
      <c r="L36" s="38"/>
      <c r="M36" s="39"/>
      <c r="N36" s="32">
        <v>300</v>
      </c>
      <c r="O36" s="40" t="s">
        <v>1257</v>
      </c>
      <c r="P36" s="41" t="s">
        <v>1340</v>
      </c>
    </row>
    <row r="37" spans="2:16" ht="27.75" customHeight="1">
      <c r="B37" s="25">
        <f t="shared" si="0"/>
        <v>33</v>
      </c>
      <c r="C37" s="42" t="s">
        <v>1037</v>
      </c>
      <c r="D37" s="42" t="s">
        <v>1037</v>
      </c>
      <c r="E37" s="26" t="e">
        <f>VLOOKUP(C37,#REF!,3,0)</f>
        <v>#REF!</v>
      </c>
      <c r="F37" s="206" t="s">
        <v>1341</v>
      </c>
      <c r="G37" s="40" t="s">
        <v>1342</v>
      </c>
      <c r="H37" s="35" t="s">
        <v>1215</v>
      </c>
      <c r="I37" s="35">
        <v>4</v>
      </c>
      <c r="J37" s="36" t="s">
        <v>1256</v>
      </c>
      <c r="K37" s="37"/>
      <c r="L37" s="38"/>
      <c r="M37" s="39"/>
      <c r="N37" s="32">
        <v>300</v>
      </c>
      <c r="O37" s="40" t="s">
        <v>1257</v>
      </c>
      <c r="P37" s="41" t="s">
        <v>1343</v>
      </c>
    </row>
    <row r="38" spans="2:16" ht="27.75" customHeight="1">
      <c r="B38" s="25">
        <f t="shared" si="0"/>
        <v>34</v>
      </c>
      <c r="C38" s="42" t="s">
        <v>909</v>
      </c>
      <c r="D38" s="42" t="s">
        <v>909</v>
      </c>
      <c r="E38" s="26" t="e">
        <f>VLOOKUP(C38,#REF!,3,0)</f>
        <v>#REF!</v>
      </c>
      <c r="F38" s="206" t="s">
        <v>1344</v>
      </c>
      <c r="G38" s="40" t="s">
        <v>1317</v>
      </c>
      <c r="H38" s="40"/>
      <c r="I38" s="35">
        <v>2</v>
      </c>
      <c r="J38" s="36" t="s">
        <v>1256</v>
      </c>
      <c r="K38" s="37"/>
      <c r="L38" s="38"/>
      <c r="M38" s="39"/>
      <c r="N38" s="32">
        <v>300</v>
      </c>
      <c r="O38" s="40" t="s">
        <v>1257</v>
      </c>
      <c r="P38" s="41" t="s">
        <v>1345</v>
      </c>
    </row>
    <row r="39" spans="2:16" ht="27.75" customHeight="1">
      <c r="B39" s="25">
        <f t="shared" si="0"/>
        <v>35</v>
      </c>
      <c r="C39" s="42" t="s">
        <v>200</v>
      </c>
      <c r="D39" s="42" t="s">
        <v>200</v>
      </c>
      <c r="E39" s="26" t="e">
        <f>VLOOKUP(C39,#REF!,3,0)</f>
        <v>#REF!</v>
      </c>
      <c r="F39" s="206" t="s">
        <v>1346</v>
      </c>
      <c r="G39" s="40" t="s">
        <v>1347</v>
      </c>
      <c r="H39" s="40" t="s">
        <v>1348</v>
      </c>
      <c r="I39" s="35">
        <v>2</v>
      </c>
      <c r="J39" s="36" t="s">
        <v>1256</v>
      </c>
      <c r="K39" s="37"/>
      <c r="L39" s="38"/>
      <c r="M39" s="39"/>
      <c r="N39" s="32">
        <v>300</v>
      </c>
      <c r="O39" s="40" t="s">
        <v>1257</v>
      </c>
      <c r="P39" s="41" t="s">
        <v>1349</v>
      </c>
    </row>
    <row r="40" spans="2:16" ht="27.75" customHeight="1">
      <c r="B40" s="25">
        <f t="shared" si="0"/>
        <v>36</v>
      </c>
      <c r="C40" s="42" t="s">
        <v>1071</v>
      </c>
      <c r="D40" s="42" t="s">
        <v>1071</v>
      </c>
      <c r="E40" s="26" t="e">
        <f>VLOOKUP(C40,#REF!,3,0)</f>
        <v>#REF!</v>
      </c>
      <c r="F40" s="206" t="s">
        <v>1350</v>
      </c>
      <c r="G40" s="40" t="s">
        <v>1351</v>
      </c>
      <c r="H40" s="40" t="s">
        <v>1348</v>
      </c>
      <c r="I40" s="35">
        <v>2</v>
      </c>
      <c r="J40" s="36" t="s">
        <v>1256</v>
      </c>
      <c r="K40" s="37"/>
      <c r="L40" s="38"/>
      <c r="M40" s="39"/>
      <c r="N40" s="32">
        <v>300</v>
      </c>
      <c r="O40" s="40" t="s">
        <v>1257</v>
      </c>
      <c r="P40" s="41" t="s">
        <v>1352</v>
      </c>
    </row>
    <row r="41" spans="2:16" ht="27.75" customHeight="1">
      <c r="B41" s="25">
        <f t="shared" si="0"/>
        <v>37</v>
      </c>
      <c r="C41" s="42" t="s">
        <v>94</v>
      </c>
      <c r="D41" s="42" t="s">
        <v>94</v>
      </c>
      <c r="E41" s="26" t="e">
        <f>VLOOKUP(C41,#REF!,3,0)</f>
        <v>#REF!</v>
      </c>
      <c r="F41" s="206" t="s">
        <v>1353</v>
      </c>
      <c r="G41" s="40" t="s">
        <v>1292</v>
      </c>
      <c r="H41" s="40" t="s">
        <v>1264</v>
      </c>
      <c r="I41" s="35">
        <v>1</v>
      </c>
      <c r="J41" s="36" t="s">
        <v>1256</v>
      </c>
      <c r="K41" s="37"/>
      <c r="L41" s="38"/>
      <c r="M41" s="39"/>
      <c r="N41" s="32">
        <v>300</v>
      </c>
      <c r="O41" s="40" t="s">
        <v>1290</v>
      </c>
      <c r="P41" s="41" t="s">
        <v>1354</v>
      </c>
    </row>
    <row r="42" spans="2:16" ht="27.75" customHeight="1">
      <c r="B42" s="25">
        <f t="shared" si="0"/>
        <v>38</v>
      </c>
      <c r="C42" s="42" t="s">
        <v>1070</v>
      </c>
      <c r="D42" s="42" t="s">
        <v>1070</v>
      </c>
      <c r="E42" s="26" t="e">
        <f>VLOOKUP(C42,#REF!,3,0)</f>
        <v>#REF!</v>
      </c>
      <c r="F42" s="206" t="s">
        <v>1355</v>
      </c>
      <c r="G42" s="40" t="s">
        <v>1356</v>
      </c>
      <c r="H42" s="40" t="s">
        <v>1215</v>
      </c>
      <c r="I42" s="35">
        <v>2</v>
      </c>
      <c r="J42" s="36" t="s">
        <v>1256</v>
      </c>
      <c r="K42" s="37"/>
      <c r="L42" s="38"/>
      <c r="M42" s="39"/>
      <c r="N42" s="32">
        <v>300</v>
      </c>
      <c r="O42" s="40" t="s">
        <v>1257</v>
      </c>
      <c r="P42" s="41" t="s">
        <v>1357</v>
      </c>
    </row>
    <row r="43" spans="2:16" ht="27.75" customHeight="1">
      <c r="B43" s="25">
        <f t="shared" si="0"/>
        <v>39</v>
      </c>
      <c r="C43" s="42" t="s">
        <v>905</v>
      </c>
      <c r="D43" s="42" t="s">
        <v>905</v>
      </c>
      <c r="E43" s="26" t="e">
        <f>VLOOKUP(C43,#REF!,3,0)</f>
        <v>#REF!</v>
      </c>
      <c r="F43" s="206" t="s">
        <v>1358</v>
      </c>
      <c r="G43" s="40" t="s">
        <v>1359</v>
      </c>
      <c r="H43" s="40" t="s">
        <v>1264</v>
      </c>
      <c r="I43" s="35">
        <v>2</v>
      </c>
      <c r="J43" s="36" t="s">
        <v>1256</v>
      </c>
      <c r="K43" s="37"/>
      <c r="L43" s="38"/>
      <c r="M43" s="39"/>
      <c r="N43" s="44">
        <v>500</v>
      </c>
      <c r="O43" s="40" t="s">
        <v>1360</v>
      </c>
      <c r="P43" s="41" t="s">
        <v>1361</v>
      </c>
    </row>
    <row r="44" spans="2:16" ht="27.75" customHeight="1">
      <c r="B44" s="25">
        <f t="shared" si="0"/>
        <v>40</v>
      </c>
      <c r="C44" s="42" t="s">
        <v>202</v>
      </c>
      <c r="D44" s="42" t="s">
        <v>202</v>
      </c>
      <c r="E44" s="26" t="e">
        <f>VLOOKUP(C44,#REF!,3,0)</f>
        <v>#REF!</v>
      </c>
      <c r="F44" s="206" t="s">
        <v>1362</v>
      </c>
      <c r="G44" s="40" t="s">
        <v>1363</v>
      </c>
      <c r="H44" s="40" t="s">
        <v>1215</v>
      </c>
      <c r="I44" s="35">
        <v>2</v>
      </c>
      <c r="J44" s="36" t="s">
        <v>1256</v>
      </c>
      <c r="K44" s="37"/>
      <c r="L44" s="38"/>
      <c r="M44" s="39"/>
      <c r="N44" s="44">
        <v>500</v>
      </c>
      <c r="O44" s="40" t="s">
        <v>1360</v>
      </c>
      <c r="P44" s="41" t="s">
        <v>1364</v>
      </c>
    </row>
    <row r="45" spans="2:16" ht="27.75" customHeight="1">
      <c r="B45" s="25">
        <f t="shared" si="0"/>
        <v>41</v>
      </c>
      <c r="C45" s="42" t="s">
        <v>207</v>
      </c>
      <c r="D45" s="17" t="s">
        <v>207</v>
      </c>
      <c r="E45" s="26" t="e">
        <f>VLOOKUP(C45,#REF!,3,0)</f>
        <v>#REF!</v>
      </c>
      <c r="F45" s="205"/>
      <c r="G45" s="25" t="s">
        <v>1365</v>
      </c>
      <c r="H45" s="40" t="s">
        <v>1215</v>
      </c>
      <c r="I45" s="35" t="s">
        <v>1258</v>
      </c>
      <c r="J45" s="36"/>
      <c r="K45" s="37"/>
      <c r="L45" s="38"/>
      <c r="M45" s="39" t="s">
        <v>1250</v>
      </c>
      <c r="N45" s="44">
        <v>800</v>
      </c>
      <c r="O45" s="25" t="s">
        <v>1258</v>
      </c>
      <c r="P45" s="34" t="s">
        <v>1366</v>
      </c>
    </row>
    <row r="46" spans="2:16" ht="27.75" customHeight="1">
      <c r="B46" s="25">
        <f t="shared" si="0"/>
        <v>42</v>
      </c>
      <c r="C46" s="42" t="s">
        <v>208</v>
      </c>
      <c r="D46" s="17" t="s">
        <v>208</v>
      </c>
      <c r="E46" s="26" t="e">
        <f>VLOOKUP(C46,#REF!,3,0)</f>
        <v>#REF!</v>
      </c>
      <c r="F46" s="205" t="s">
        <v>1367</v>
      </c>
      <c r="G46" s="25" t="s">
        <v>1365</v>
      </c>
      <c r="H46" s="40" t="s">
        <v>1215</v>
      </c>
      <c r="I46" s="35">
        <v>4</v>
      </c>
      <c r="J46" s="36"/>
      <c r="K46" s="37"/>
      <c r="L46" s="38"/>
      <c r="M46" s="39" t="s">
        <v>1250</v>
      </c>
      <c r="N46" s="44">
        <v>800</v>
      </c>
      <c r="O46" s="25" t="s">
        <v>1290</v>
      </c>
      <c r="P46" s="34" t="s">
        <v>1368</v>
      </c>
    </row>
    <row r="47" spans="2:16" ht="27.75" customHeight="1">
      <c r="B47" s="25">
        <f t="shared" si="0"/>
        <v>43</v>
      </c>
      <c r="C47" s="42" t="s">
        <v>451</v>
      </c>
      <c r="D47" s="17" t="s">
        <v>451</v>
      </c>
      <c r="E47" s="26" t="e">
        <f>VLOOKUP(C47,#REF!,3,0)</f>
        <v>#REF!</v>
      </c>
      <c r="F47" s="205" t="s">
        <v>1369</v>
      </c>
      <c r="G47" s="25" t="s">
        <v>1370</v>
      </c>
      <c r="H47" s="25"/>
      <c r="I47" s="35">
        <v>4</v>
      </c>
      <c r="J47" s="36"/>
      <c r="K47" s="37"/>
      <c r="L47" s="38"/>
      <c r="M47" s="39" t="s">
        <v>1250</v>
      </c>
      <c r="N47" s="44">
        <v>800</v>
      </c>
      <c r="O47" s="25" t="s">
        <v>1371</v>
      </c>
      <c r="P47" s="34" t="s">
        <v>1372</v>
      </c>
    </row>
    <row r="48" spans="2:16" ht="27.75" customHeight="1">
      <c r="B48" s="25">
        <f t="shared" si="0"/>
        <v>44</v>
      </c>
      <c r="C48" s="42" t="s">
        <v>452</v>
      </c>
      <c r="D48" s="17" t="s">
        <v>452</v>
      </c>
      <c r="E48" s="26" t="e">
        <f>VLOOKUP(C48,#REF!,3,0)</f>
        <v>#REF!</v>
      </c>
      <c r="F48" s="205" t="s">
        <v>1373</v>
      </c>
      <c r="G48" s="25" t="s">
        <v>1370</v>
      </c>
      <c r="H48" s="25"/>
      <c r="I48" s="35">
        <v>2</v>
      </c>
      <c r="J48" s="36"/>
      <c r="K48" s="37"/>
      <c r="L48" s="38"/>
      <c r="M48" s="39" t="s">
        <v>1250</v>
      </c>
      <c r="N48" s="44">
        <v>800</v>
      </c>
      <c r="O48" s="25" t="s">
        <v>1371</v>
      </c>
      <c r="P48" s="34" t="s">
        <v>1374</v>
      </c>
    </row>
    <row r="49" spans="1:17" ht="27.75" customHeight="1">
      <c r="B49" s="25">
        <f t="shared" si="0"/>
        <v>45</v>
      </c>
      <c r="C49" s="42" t="s">
        <v>453</v>
      </c>
      <c r="D49" s="42" t="s">
        <v>453</v>
      </c>
      <c r="E49" s="26" t="e">
        <f>VLOOKUP(C49,#REF!,3,0)</f>
        <v>#REF!</v>
      </c>
      <c r="F49" s="206" t="s">
        <v>1369</v>
      </c>
      <c r="G49" s="35" t="s">
        <v>1370</v>
      </c>
      <c r="H49" s="35"/>
      <c r="I49" s="35">
        <v>4</v>
      </c>
      <c r="J49" s="36"/>
      <c r="K49" s="37"/>
      <c r="L49" s="38"/>
      <c r="M49" s="39" t="s">
        <v>1250</v>
      </c>
      <c r="N49" s="44">
        <v>800</v>
      </c>
      <c r="O49" s="35" t="s">
        <v>1371</v>
      </c>
      <c r="P49" s="43" t="s">
        <v>1372</v>
      </c>
    </row>
    <row r="50" spans="1:17" ht="27.75" customHeight="1">
      <c r="B50" s="25">
        <f t="shared" si="0"/>
        <v>46</v>
      </c>
      <c r="C50" s="42" t="s">
        <v>231</v>
      </c>
      <c r="D50" s="42" t="s">
        <v>231</v>
      </c>
      <c r="E50" s="26" t="e">
        <f>VLOOKUP(C50,#REF!,3,0)</f>
        <v>#REF!</v>
      </c>
      <c r="F50" s="206" t="s">
        <v>1375</v>
      </c>
      <c r="G50" s="35" t="s">
        <v>1376</v>
      </c>
      <c r="H50" s="35"/>
      <c r="I50" s="35">
        <v>4</v>
      </c>
      <c r="J50" s="36"/>
      <c r="K50" s="37"/>
      <c r="L50" s="38"/>
      <c r="M50" s="39" t="s">
        <v>1250</v>
      </c>
      <c r="N50" s="44">
        <v>800</v>
      </c>
      <c r="O50" s="35" t="s">
        <v>1371</v>
      </c>
      <c r="P50" s="43" t="s">
        <v>1377</v>
      </c>
    </row>
    <row r="51" spans="1:17" ht="27.75" customHeight="1">
      <c r="B51" s="25">
        <f t="shared" si="0"/>
        <v>47</v>
      </c>
      <c r="C51" s="42" t="s">
        <v>232</v>
      </c>
      <c r="D51" s="17" t="s">
        <v>232</v>
      </c>
      <c r="E51" s="26" t="e">
        <f>VLOOKUP(C51,#REF!,3,0)</f>
        <v>#REF!</v>
      </c>
      <c r="F51" s="205" t="s">
        <v>1375</v>
      </c>
      <c r="G51" s="25" t="s">
        <v>1376</v>
      </c>
      <c r="H51" s="25"/>
      <c r="I51" s="35">
        <v>4</v>
      </c>
      <c r="J51" s="36"/>
      <c r="K51" s="37"/>
      <c r="L51" s="38"/>
      <c r="M51" s="39" t="s">
        <v>1250</v>
      </c>
      <c r="N51" s="44">
        <v>800</v>
      </c>
      <c r="O51" s="35" t="s">
        <v>1371</v>
      </c>
      <c r="P51" s="34" t="s">
        <v>1378</v>
      </c>
    </row>
    <row r="52" spans="1:17" ht="27.75" customHeight="1">
      <c r="B52" s="25">
        <f t="shared" si="0"/>
        <v>48</v>
      </c>
      <c r="C52" s="42" t="s">
        <v>233</v>
      </c>
      <c r="D52" s="17" t="s">
        <v>233</v>
      </c>
      <c r="E52" s="26" t="e">
        <f>VLOOKUP(C52,#REF!,3,0)</f>
        <v>#REF!</v>
      </c>
      <c r="F52" s="205" t="s">
        <v>1375</v>
      </c>
      <c r="G52" s="25" t="s">
        <v>1376</v>
      </c>
      <c r="H52" s="25"/>
      <c r="I52" s="35">
        <v>2</v>
      </c>
      <c r="J52" s="36"/>
      <c r="K52" s="37"/>
      <c r="L52" s="38"/>
      <c r="M52" s="39" t="s">
        <v>1250</v>
      </c>
      <c r="N52" s="44">
        <v>800</v>
      </c>
      <c r="O52" s="35" t="s">
        <v>1371</v>
      </c>
      <c r="P52" s="34" t="s">
        <v>1379</v>
      </c>
    </row>
    <row r="53" spans="1:17" ht="27.75" customHeight="1">
      <c r="B53" s="25">
        <f t="shared" si="0"/>
        <v>49</v>
      </c>
      <c r="C53" s="42" t="s">
        <v>480</v>
      </c>
      <c r="D53" s="17" t="s">
        <v>480</v>
      </c>
      <c r="E53" s="26" t="e">
        <f>VLOOKUP(C53,#REF!,3,0)</f>
        <v>#REF!</v>
      </c>
      <c r="F53" s="205" t="s">
        <v>1380</v>
      </c>
      <c r="G53" s="25" t="s">
        <v>1381</v>
      </c>
      <c r="H53" s="25"/>
      <c r="I53" s="35">
        <v>4</v>
      </c>
      <c r="J53" s="36"/>
      <c r="K53" s="37"/>
      <c r="L53" s="38"/>
      <c r="M53" s="39" t="s">
        <v>1250</v>
      </c>
      <c r="N53" s="44">
        <v>800</v>
      </c>
      <c r="O53" s="25" t="s">
        <v>1371</v>
      </c>
      <c r="P53" s="34" t="s">
        <v>1382</v>
      </c>
    </row>
    <row r="54" spans="1:17" ht="27.75" customHeight="1">
      <c r="B54" s="25">
        <f t="shared" si="0"/>
        <v>50</v>
      </c>
      <c r="C54" s="42" t="s">
        <v>481</v>
      </c>
      <c r="D54" s="17" t="s">
        <v>481</v>
      </c>
      <c r="E54" s="26" t="e">
        <f>VLOOKUP(C54,#REF!,3,0)</f>
        <v>#REF!</v>
      </c>
      <c r="F54" s="205" t="s">
        <v>1380</v>
      </c>
      <c r="G54" s="25" t="s">
        <v>1381</v>
      </c>
      <c r="H54" s="25"/>
      <c r="I54" s="35">
        <v>4</v>
      </c>
      <c r="J54" s="36"/>
      <c r="K54" s="37"/>
      <c r="L54" s="38"/>
      <c r="M54" s="39" t="s">
        <v>1250</v>
      </c>
      <c r="N54" s="44">
        <v>800</v>
      </c>
      <c r="O54" s="25" t="s">
        <v>1371</v>
      </c>
      <c r="P54" s="34" t="s">
        <v>1383</v>
      </c>
    </row>
    <row r="55" spans="1:17" ht="27.75" customHeight="1">
      <c r="B55" s="25">
        <f t="shared" si="0"/>
        <v>51</v>
      </c>
      <c r="C55" s="42" t="s">
        <v>229</v>
      </c>
      <c r="D55" s="17" t="s">
        <v>229</v>
      </c>
      <c r="E55" s="26" t="e">
        <f>VLOOKUP(C55,#REF!,3,0)</f>
        <v>#REF!</v>
      </c>
      <c r="F55" s="205" t="s">
        <v>1384</v>
      </c>
      <c r="G55" s="25" t="s">
        <v>1376</v>
      </c>
      <c r="H55" s="25"/>
      <c r="I55" s="35">
        <v>2</v>
      </c>
      <c r="J55" s="36"/>
      <c r="K55" s="37"/>
      <c r="L55" s="38"/>
      <c r="M55" s="39" t="s">
        <v>1250</v>
      </c>
      <c r="N55" s="44">
        <v>800</v>
      </c>
      <c r="O55" s="25" t="s">
        <v>1385</v>
      </c>
      <c r="P55" s="34" t="s">
        <v>1386</v>
      </c>
    </row>
    <row r="56" spans="1:17" ht="27.75" customHeight="1">
      <c r="B56" s="25">
        <f t="shared" si="0"/>
        <v>52</v>
      </c>
      <c r="C56" s="42" t="s">
        <v>230</v>
      </c>
      <c r="D56" s="17" t="s">
        <v>230</v>
      </c>
      <c r="E56" s="26" t="e">
        <f>VLOOKUP(C56,#REF!,3,0)</f>
        <v>#REF!</v>
      </c>
      <c r="F56" s="205" t="s">
        <v>1384</v>
      </c>
      <c r="G56" s="25" t="s">
        <v>1376</v>
      </c>
      <c r="H56" s="25"/>
      <c r="I56" s="35">
        <v>2</v>
      </c>
      <c r="J56" s="36"/>
      <c r="K56" s="37"/>
      <c r="L56" s="38"/>
      <c r="M56" s="39" t="s">
        <v>1250</v>
      </c>
      <c r="N56" s="44">
        <v>800</v>
      </c>
      <c r="O56" s="25" t="s">
        <v>1385</v>
      </c>
      <c r="P56" s="34" t="s">
        <v>1386</v>
      </c>
    </row>
    <row r="57" spans="1:17" ht="27.75" customHeight="1">
      <c r="B57" s="25">
        <f t="shared" si="0"/>
        <v>53</v>
      </c>
      <c r="C57" s="42" t="s">
        <v>1064</v>
      </c>
      <c r="D57" s="17" t="s">
        <v>1064</v>
      </c>
      <c r="E57" s="26" t="e">
        <f>VLOOKUP(C57,#REF!,3,0)</f>
        <v>#REF!</v>
      </c>
      <c r="F57" s="205" t="s">
        <v>1387</v>
      </c>
      <c r="G57" s="25" t="s">
        <v>1388</v>
      </c>
      <c r="H57" s="25" t="s">
        <v>1215</v>
      </c>
      <c r="I57" s="35">
        <v>4</v>
      </c>
      <c r="J57" s="36"/>
      <c r="K57" s="37"/>
      <c r="L57" s="38"/>
      <c r="M57" s="39" t="s">
        <v>1250</v>
      </c>
      <c r="N57" s="44">
        <v>800</v>
      </c>
      <c r="O57" s="25" t="s">
        <v>1385</v>
      </c>
      <c r="P57" s="34" t="s">
        <v>1389</v>
      </c>
    </row>
    <row r="58" spans="1:17" ht="27.75" customHeight="1">
      <c r="B58" s="25">
        <f t="shared" si="0"/>
        <v>54</v>
      </c>
      <c r="C58" s="42" t="s">
        <v>449</v>
      </c>
      <c r="D58" s="17" t="s">
        <v>449</v>
      </c>
      <c r="E58" s="26" t="e">
        <f>VLOOKUP(C58,#REF!,3,0)</f>
        <v>#REF!</v>
      </c>
      <c r="F58" s="205" t="s">
        <v>1373</v>
      </c>
      <c r="G58" s="25" t="s">
        <v>1370</v>
      </c>
      <c r="H58" s="25"/>
      <c r="I58" s="35">
        <v>2</v>
      </c>
      <c r="J58" s="36"/>
      <c r="K58" s="37"/>
      <c r="L58" s="38"/>
      <c r="M58" s="39" t="s">
        <v>1250</v>
      </c>
      <c r="N58" s="44">
        <v>800</v>
      </c>
      <c r="O58" s="25" t="s">
        <v>1385</v>
      </c>
      <c r="P58" s="34" t="s">
        <v>1390</v>
      </c>
    </row>
    <row r="59" spans="1:17" ht="27.75" customHeight="1">
      <c r="B59" s="25">
        <f t="shared" si="0"/>
        <v>55</v>
      </c>
      <c r="C59" s="42" t="s">
        <v>450</v>
      </c>
      <c r="D59" s="17" t="s">
        <v>450</v>
      </c>
      <c r="E59" s="26" t="e">
        <f>VLOOKUP(C59,#REF!,3,0)</f>
        <v>#REF!</v>
      </c>
      <c r="F59" s="205" t="s">
        <v>1373</v>
      </c>
      <c r="G59" s="25" t="s">
        <v>1370</v>
      </c>
      <c r="H59" s="25"/>
      <c r="I59" s="35">
        <v>2</v>
      </c>
      <c r="J59" s="36"/>
      <c r="K59" s="37"/>
      <c r="L59" s="38"/>
      <c r="M59" s="39" t="s">
        <v>1250</v>
      </c>
      <c r="N59" s="44">
        <v>800</v>
      </c>
      <c r="O59" s="25" t="s">
        <v>1385</v>
      </c>
      <c r="P59" s="34" t="s">
        <v>1390</v>
      </c>
    </row>
    <row r="60" spans="1:17" ht="27.75" customHeight="1">
      <c r="B60" s="25">
        <f t="shared" si="0"/>
        <v>56</v>
      </c>
      <c r="C60" s="42" t="s">
        <v>1065</v>
      </c>
      <c r="D60" s="17" t="s">
        <v>1065</v>
      </c>
      <c r="E60" s="26" t="e">
        <f>VLOOKUP(C60,#REF!,3,0)</f>
        <v>#REF!</v>
      </c>
      <c r="F60" s="205" t="s">
        <v>1387</v>
      </c>
      <c r="G60" s="25" t="s">
        <v>1388</v>
      </c>
      <c r="H60" s="25" t="s">
        <v>1215</v>
      </c>
      <c r="I60" s="35">
        <v>4</v>
      </c>
      <c r="J60" s="36"/>
      <c r="K60" s="37"/>
      <c r="L60" s="38"/>
      <c r="M60" s="39" t="s">
        <v>1250</v>
      </c>
      <c r="N60" s="44">
        <v>800</v>
      </c>
      <c r="O60" s="25" t="s">
        <v>1385</v>
      </c>
      <c r="P60" s="34" t="s">
        <v>1389</v>
      </c>
    </row>
    <row r="61" spans="1:17" ht="27.75" customHeight="1" thickBot="1">
      <c r="A61" s="45"/>
      <c r="B61" s="25">
        <f t="shared" si="0"/>
        <v>57</v>
      </c>
      <c r="C61" s="42" t="s">
        <v>278</v>
      </c>
      <c r="D61" s="17" t="s">
        <v>278</v>
      </c>
      <c r="E61" s="26" t="e">
        <f>VLOOKUP(C61,#REF!,3,0)</f>
        <v>#REF!</v>
      </c>
      <c r="F61" s="205" t="s">
        <v>1391</v>
      </c>
      <c r="G61" s="25" t="s">
        <v>1392</v>
      </c>
      <c r="H61" s="25" t="s">
        <v>1215</v>
      </c>
      <c r="I61" s="35">
        <v>4</v>
      </c>
      <c r="J61" s="36"/>
      <c r="K61" s="37"/>
      <c r="L61" s="38"/>
      <c r="M61" s="39" t="s">
        <v>1250</v>
      </c>
      <c r="N61" s="44">
        <v>800</v>
      </c>
      <c r="O61" s="25" t="s">
        <v>1371</v>
      </c>
      <c r="P61" s="34" t="s">
        <v>1393</v>
      </c>
      <c r="Q61" s="45"/>
    </row>
    <row r="62" spans="1:17" ht="27.75" customHeight="1" thickTop="1">
      <c r="A62" s="46"/>
      <c r="B62" s="25">
        <f t="shared" si="0"/>
        <v>58</v>
      </c>
      <c r="C62" s="42" t="s">
        <v>227</v>
      </c>
      <c r="D62" s="17" t="s">
        <v>227</v>
      </c>
      <c r="E62" s="26" t="e">
        <f>VLOOKUP(C62,#REF!,3,0)</f>
        <v>#REF!</v>
      </c>
      <c r="F62" s="205" t="s">
        <v>1384</v>
      </c>
      <c r="G62" s="25" t="s">
        <v>1376</v>
      </c>
      <c r="H62" s="25"/>
      <c r="I62" s="35">
        <v>2</v>
      </c>
      <c r="J62" s="36"/>
      <c r="K62" s="37"/>
      <c r="L62" s="38"/>
      <c r="M62" s="39" t="s">
        <v>1250</v>
      </c>
      <c r="N62" s="44">
        <v>800</v>
      </c>
      <c r="O62" s="25" t="s">
        <v>1371</v>
      </c>
      <c r="P62" s="34" t="s">
        <v>1379</v>
      </c>
      <c r="Q62" s="46"/>
    </row>
    <row r="63" spans="1:17" ht="27.75" customHeight="1">
      <c r="B63" s="25">
        <f t="shared" si="0"/>
        <v>59</v>
      </c>
      <c r="C63" s="42" t="s">
        <v>228</v>
      </c>
      <c r="D63" s="17" t="s">
        <v>228</v>
      </c>
      <c r="E63" s="26" t="e">
        <f>VLOOKUP(C63,#REF!,3,0)</f>
        <v>#REF!</v>
      </c>
      <c r="F63" s="205" t="s">
        <v>1384</v>
      </c>
      <c r="G63" s="25" t="s">
        <v>1376</v>
      </c>
      <c r="H63" s="25"/>
      <c r="I63" s="35">
        <v>2</v>
      </c>
      <c r="J63" s="36"/>
      <c r="K63" s="37"/>
      <c r="L63" s="38"/>
      <c r="M63" s="39" t="s">
        <v>1250</v>
      </c>
      <c r="N63" s="44">
        <v>800</v>
      </c>
      <c r="O63" s="25" t="s">
        <v>1371</v>
      </c>
      <c r="P63" s="34" t="s">
        <v>1379</v>
      </c>
    </row>
    <row r="64" spans="1:17" ht="27.75" customHeight="1">
      <c r="B64" s="25">
        <f t="shared" si="0"/>
        <v>60</v>
      </c>
      <c r="C64" s="42" t="s">
        <v>209</v>
      </c>
      <c r="D64" s="17" t="s">
        <v>209</v>
      </c>
      <c r="E64" s="26" t="e">
        <f>VLOOKUP(C64,#REF!,3,0)</f>
        <v>#REF!</v>
      </c>
      <c r="F64" s="205" t="s">
        <v>1367</v>
      </c>
      <c r="G64" s="25" t="s">
        <v>1365</v>
      </c>
      <c r="H64" s="25" t="s">
        <v>1215</v>
      </c>
      <c r="I64" s="35">
        <v>4</v>
      </c>
      <c r="J64" s="36" t="s">
        <v>1256</v>
      </c>
      <c r="K64" s="37"/>
      <c r="L64" s="38"/>
      <c r="M64" s="39"/>
      <c r="N64" s="44">
        <v>800</v>
      </c>
      <c r="O64" s="25" t="s">
        <v>1371</v>
      </c>
      <c r="P64" s="34" t="s">
        <v>1394</v>
      </c>
    </row>
    <row r="65" spans="2:16" ht="27.75" customHeight="1">
      <c r="B65" s="25">
        <f t="shared" si="0"/>
        <v>61</v>
      </c>
      <c r="C65" s="42" t="s">
        <v>1032</v>
      </c>
      <c r="D65" s="17" t="s">
        <v>1032</v>
      </c>
      <c r="E65" s="26" t="e">
        <f>VLOOKUP(C65,#REF!,3,0)</f>
        <v>#REF!</v>
      </c>
      <c r="F65" s="205" t="s">
        <v>1395</v>
      </c>
      <c r="G65" s="25" t="s">
        <v>1396</v>
      </c>
      <c r="H65" s="25" t="s">
        <v>1215</v>
      </c>
      <c r="I65" s="35">
        <v>4</v>
      </c>
      <c r="J65" s="36"/>
      <c r="K65" s="37"/>
      <c r="L65" s="38"/>
      <c r="M65" s="39" t="s">
        <v>1250</v>
      </c>
      <c r="N65" s="44">
        <v>800</v>
      </c>
      <c r="O65" s="25" t="s">
        <v>1371</v>
      </c>
      <c r="P65" s="34" t="s">
        <v>1397</v>
      </c>
    </row>
    <row r="66" spans="2:16" ht="27.75" customHeight="1">
      <c r="B66" s="25">
        <f t="shared" si="0"/>
        <v>62</v>
      </c>
      <c r="C66" s="42" t="s">
        <v>455</v>
      </c>
      <c r="D66" s="17" t="s">
        <v>455</v>
      </c>
      <c r="E66" s="26" t="e">
        <f>VLOOKUP(C66,#REF!,3,0)</f>
        <v>#REF!</v>
      </c>
      <c r="F66" s="205" t="s">
        <v>1369</v>
      </c>
      <c r="G66" s="25" t="s">
        <v>1370</v>
      </c>
      <c r="H66" s="25"/>
      <c r="I66" s="35">
        <v>4</v>
      </c>
      <c r="J66" s="36" t="s">
        <v>1256</v>
      </c>
      <c r="K66" s="37"/>
      <c r="L66" s="38"/>
      <c r="M66" s="39"/>
      <c r="N66" s="44">
        <v>800</v>
      </c>
      <c r="O66" s="25" t="s">
        <v>1371</v>
      </c>
      <c r="P66" s="34" t="s">
        <v>1372</v>
      </c>
    </row>
    <row r="67" spans="2:16" ht="27.75" customHeight="1">
      <c r="B67" s="25">
        <f t="shared" si="0"/>
        <v>63</v>
      </c>
      <c r="C67" s="42" t="s">
        <v>223</v>
      </c>
      <c r="D67" s="17" t="s">
        <v>223</v>
      </c>
      <c r="E67" s="26" t="e">
        <f>VLOOKUP(C67,#REF!,3,0)</f>
        <v>#REF!</v>
      </c>
      <c r="F67" s="205" t="s">
        <v>1384</v>
      </c>
      <c r="G67" s="25" t="s">
        <v>1376</v>
      </c>
      <c r="H67" s="25"/>
      <c r="I67" s="35">
        <v>4</v>
      </c>
      <c r="J67" s="36"/>
      <c r="K67" s="37"/>
      <c r="L67" s="38"/>
      <c r="M67" s="39" t="s">
        <v>1250</v>
      </c>
      <c r="N67" s="44">
        <v>800</v>
      </c>
      <c r="O67" s="25" t="s">
        <v>1371</v>
      </c>
      <c r="P67" s="34" t="s">
        <v>1379</v>
      </c>
    </row>
    <row r="68" spans="2:16" ht="27.75" customHeight="1">
      <c r="B68" s="25">
        <f t="shared" si="0"/>
        <v>64</v>
      </c>
      <c r="C68" s="42" t="s">
        <v>342</v>
      </c>
      <c r="D68" s="17" t="s">
        <v>342</v>
      </c>
      <c r="E68" s="26" t="e">
        <f>VLOOKUP(C68,#REF!,3,0)</f>
        <v>#REF!</v>
      </c>
      <c r="F68" s="205" t="s">
        <v>1398</v>
      </c>
      <c r="G68" s="25" t="s">
        <v>1399</v>
      </c>
      <c r="H68" s="25"/>
      <c r="I68" s="35">
        <v>4</v>
      </c>
      <c r="J68" s="36" t="s">
        <v>1256</v>
      </c>
      <c r="K68" s="37"/>
      <c r="L68" s="38"/>
      <c r="M68" s="39"/>
      <c r="N68" s="44">
        <v>800</v>
      </c>
      <c r="O68" s="25" t="s">
        <v>1385</v>
      </c>
      <c r="P68" s="34" t="s">
        <v>1400</v>
      </c>
    </row>
    <row r="69" spans="2:16" ht="27.75" customHeight="1">
      <c r="B69" s="25">
        <f t="shared" si="0"/>
        <v>65</v>
      </c>
      <c r="C69" s="42" t="s">
        <v>439</v>
      </c>
      <c r="D69" s="17" t="s">
        <v>439</v>
      </c>
      <c r="E69" s="26" t="e">
        <f>VLOOKUP(C69,#REF!,3,0)</f>
        <v>#REF!</v>
      </c>
      <c r="F69" s="205" t="s">
        <v>1401</v>
      </c>
      <c r="G69" s="25" t="s">
        <v>1402</v>
      </c>
      <c r="H69" s="25"/>
      <c r="I69" s="35">
        <v>4</v>
      </c>
      <c r="J69" s="36" t="s">
        <v>1256</v>
      </c>
      <c r="K69" s="37"/>
      <c r="L69" s="38"/>
      <c r="M69" s="39"/>
      <c r="N69" s="44">
        <v>800</v>
      </c>
      <c r="O69" s="25" t="s">
        <v>1385</v>
      </c>
      <c r="P69" s="34" t="s">
        <v>1400</v>
      </c>
    </row>
    <row r="70" spans="2:16" ht="27.75" customHeight="1">
      <c r="B70" s="25">
        <f t="shared" si="0"/>
        <v>66</v>
      </c>
      <c r="C70" s="42" t="s">
        <v>436</v>
      </c>
      <c r="D70" s="17" t="s">
        <v>436</v>
      </c>
      <c r="E70" s="26" t="e">
        <f>VLOOKUP(C70,#REF!,3,0)</f>
        <v>#REF!</v>
      </c>
      <c r="F70" s="205" t="s">
        <v>1403</v>
      </c>
      <c r="G70" s="25" t="s">
        <v>1404</v>
      </c>
      <c r="H70" s="25"/>
      <c r="I70" s="35">
        <v>4</v>
      </c>
      <c r="J70" s="36" t="s">
        <v>1256</v>
      </c>
      <c r="K70" s="37"/>
      <c r="L70" s="38"/>
      <c r="M70" s="39"/>
      <c r="N70" s="44">
        <v>800</v>
      </c>
      <c r="O70" s="25" t="s">
        <v>1385</v>
      </c>
      <c r="P70" s="34" t="s">
        <v>1400</v>
      </c>
    </row>
    <row r="71" spans="2:16" ht="27.75" customHeight="1">
      <c r="B71" s="25">
        <f t="shared" ref="B71:B134" si="1">B70+1</f>
        <v>67</v>
      </c>
      <c r="C71" s="42" t="s">
        <v>856</v>
      </c>
      <c r="D71" s="17" t="s">
        <v>856</v>
      </c>
      <c r="E71" s="26" t="e">
        <f>VLOOKUP(C71,#REF!,3,0)</f>
        <v>#REF!</v>
      </c>
      <c r="F71" s="205" t="s">
        <v>1405</v>
      </c>
      <c r="G71" s="25" t="s">
        <v>1406</v>
      </c>
      <c r="H71" s="25" t="s">
        <v>1215</v>
      </c>
      <c r="I71" s="35">
        <v>4</v>
      </c>
      <c r="J71" s="36" t="s">
        <v>1256</v>
      </c>
      <c r="K71" s="37"/>
      <c r="L71" s="38"/>
      <c r="M71" s="39"/>
      <c r="N71" s="44">
        <v>800</v>
      </c>
      <c r="O71" s="25" t="s">
        <v>1385</v>
      </c>
      <c r="P71" s="34" t="s">
        <v>1407</v>
      </c>
    </row>
    <row r="72" spans="2:16" ht="27.75" customHeight="1">
      <c r="B72" s="25">
        <f t="shared" si="1"/>
        <v>68</v>
      </c>
      <c r="C72" s="42" t="s">
        <v>1062</v>
      </c>
      <c r="D72" s="17" t="s">
        <v>1062</v>
      </c>
      <c r="E72" s="26" t="e">
        <f>VLOOKUP(C72,#REF!,3,0)</f>
        <v>#REF!</v>
      </c>
      <c r="F72" s="205" t="s">
        <v>1387</v>
      </c>
      <c r="G72" s="25" t="s">
        <v>1388</v>
      </c>
      <c r="H72" s="25" t="s">
        <v>1215</v>
      </c>
      <c r="I72" s="35">
        <v>4</v>
      </c>
      <c r="J72" s="36"/>
      <c r="K72" s="37"/>
      <c r="L72" s="38"/>
      <c r="M72" s="39" t="s">
        <v>1250</v>
      </c>
      <c r="N72" s="44">
        <v>800</v>
      </c>
      <c r="O72" s="25" t="s">
        <v>1385</v>
      </c>
      <c r="P72" s="34" t="s">
        <v>1407</v>
      </c>
    </row>
    <row r="73" spans="2:16" ht="27.75" customHeight="1">
      <c r="B73" s="25">
        <f t="shared" si="1"/>
        <v>69</v>
      </c>
      <c r="C73" s="42" t="s">
        <v>1063</v>
      </c>
      <c r="D73" s="17" t="s">
        <v>1063</v>
      </c>
      <c r="E73" s="26" t="e">
        <f>VLOOKUP(C73,#REF!,3,0)</f>
        <v>#REF!</v>
      </c>
      <c r="F73" s="205" t="s">
        <v>1387</v>
      </c>
      <c r="G73" s="25" t="s">
        <v>1388</v>
      </c>
      <c r="H73" s="25" t="s">
        <v>1215</v>
      </c>
      <c r="I73" s="35">
        <v>4</v>
      </c>
      <c r="J73" s="36"/>
      <c r="K73" s="37"/>
      <c r="L73" s="38"/>
      <c r="M73" s="39" t="s">
        <v>1250</v>
      </c>
      <c r="N73" s="44">
        <v>800</v>
      </c>
      <c r="O73" s="25" t="s">
        <v>1385</v>
      </c>
      <c r="P73" s="34" t="s">
        <v>1407</v>
      </c>
    </row>
    <row r="74" spans="2:16" ht="27.75" customHeight="1">
      <c r="B74" s="25">
        <f t="shared" si="1"/>
        <v>70</v>
      </c>
      <c r="C74" s="42" t="s">
        <v>279</v>
      </c>
      <c r="D74" s="17" t="s">
        <v>279</v>
      </c>
      <c r="E74" s="26" t="e">
        <f>VLOOKUP(C74,#REF!,3,0)</f>
        <v>#REF!</v>
      </c>
      <c r="F74" s="205" t="s">
        <v>1391</v>
      </c>
      <c r="G74" s="25" t="s">
        <v>1392</v>
      </c>
      <c r="H74" s="25" t="s">
        <v>1215</v>
      </c>
      <c r="I74" s="35">
        <v>4</v>
      </c>
      <c r="J74" s="36"/>
      <c r="K74" s="37"/>
      <c r="L74" s="38"/>
      <c r="M74" s="39" t="s">
        <v>1250</v>
      </c>
      <c r="N74" s="44">
        <v>800</v>
      </c>
      <c r="O74" s="25" t="s">
        <v>1385</v>
      </c>
      <c r="P74" s="34" t="s">
        <v>1393</v>
      </c>
    </row>
    <row r="75" spans="2:16" ht="27.75" customHeight="1">
      <c r="B75" s="25">
        <f t="shared" si="1"/>
        <v>71</v>
      </c>
      <c r="C75" s="42" t="s">
        <v>280</v>
      </c>
      <c r="D75" s="17" t="s">
        <v>280</v>
      </c>
      <c r="E75" s="26" t="e">
        <f>VLOOKUP(C75,#REF!,3,0)</f>
        <v>#REF!</v>
      </c>
      <c r="F75" s="205" t="s">
        <v>1391</v>
      </c>
      <c r="G75" s="25" t="s">
        <v>1392</v>
      </c>
      <c r="H75" s="25" t="s">
        <v>1215</v>
      </c>
      <c r="I75" s="35">
        <v>4</v>
      </c>
      <c r="J75" s="36" t="s">
        <v>1256</v>
      </c>
      <c r="K75" s="37"/>
      <c r="L75" s="38"/>
      <c r="M75" s="39"/>
      <c r="N75" s="44">
        <v>800</v>
      </c>
      <c r="O75" s="25" t="s">
        <v>1385</v>
      </c>
      <c r="P75" s="34" t="s">
        <v>1408</v>
      </c>
    </row>
    <row r="76" spans="2:16" ht="27.75" customHeight="1">
      <c r="B76" s="25">
        <f t="shared" si="1"/>
        <v>72</v>
      </c>
      <c r="C76" s="42" t="s">
        <v>446</v>
      </c>
      <c r="D76" s="17" t="s">
        <v>446</v>
      </c>
      <c r="E76" s="26" t="e">
        <f>VLOOKUP(C76,#REF!,3,0)</f>
        <v>#REF!</v>
      </c>
      <c r="F76" s="205" t="s">
        <v>1373</v>
      </c>
      <c r="G76" s="25" t="s">
        <v>1370</v>
      </c>
      <c r="H76" s="25"/>
      <c r="I76" s="35">
        <v>2</v>
      </c>
      <c r="J76" s="36" t="s">
        <v>1256</v>
      </c>
      <c r="K76" s="37"/>
      <c r="L76" s="38"/>
      <c r="M76" s="39"/>
      <c r="N76" s="44">
        <v>800</v>
      </c>
      <c r="O76" s="25" t="s">
        <v>1385</v>
      </c>
      <c r="P76" s="34" t="s">
        <v>1409</v>
      </c>
    </row>
    <row r="77" spans="2:16" ht="27.75" customHeight="1">
      <c r="B77" s="25">
        <f t="shared" si="1"/>
        <v>73</v>
      </c>
      <c r="C77" s="42" t="s">
        <v>447</v>
      </c>
      <c r="D77" s="17" t="s">
        <v>447</v>
      </c>
      <c r="E77" s="26" t="e">
        <f>VLOOKUP(C77,#REF!,3,0)</f>
        <v>#REF!</v>
      </c>
      <c r="F77" s="205" t="s">
        <v>1373</v>
      </c>
      <c r="G77" s="25" t="s">
        <v>1370</v>
      </c>
      <c r="H77" s="25"/>
      <c r="I77" s="35">
        <v>2</v>
      </c>
      <c r="J77" s="36"/>
      <c r="K77" s="37"/>
      <c r="L77" s="38"/>
      <c r="M77" s="39" t="s">
        <v>1250</v>
      </c>
      <c r="N77" s="44">
        <v>800</v>
      </c>
      <c r="O77" s="25" t="s">
        <v>1385</v>
      </c>
      <c r="P77" s="34" t="s">
        <v>1409</v>
      </c>
    </row>
    <row r="78" spans="2:16" ht="27.75" customHeight="1">
      <c r="B78" s="25">
        <f t="shared" si="1"/>
        <v>74</v>
      </c>
      <c r="C78" s="42" t="s">
        <v>448</v>
      </c>
      <c r="D78" s="17" t="s">
        <v>448</v>
      </c>
      <c r="E78" s="26" t="e">
        <f>VLOOKUP(C78,#REF!,3,0)</f>
        <v>#REF!</v>
      </c>
      <c r="F78" s="205" t="s">
        <v>1373</v>
      </c>
      <c r="G78" s="25" t="s">
        <v>1370</v>
      </c>
      <c r="H78" s="25"/>
      <c r="I78" s="35">
        <v>2</v>
      </c>
      <c r="J78" s="36" t="s">
        <v>1256</v>
      </c>
      <c r="K78" s="37"/>
      <c r="L78" s="38"/>
      <c r="M78" s="39"/>
      <c r="N78" s="44">
        <v>800</v>
      </c>
      <c r="O78" s="25" t="s">
        <v>1385</v>
      </c>
      <c r="P78" s="34" t="s">
        <v>1409</v>
      </c>
    </row>
    <row r="79" spans="2:16" ht="27.75" customHeight="1">
      <c r="B79" s="25">
        <f t="shared" si="1"/>
        <v>75</v>
      </c>
      <c r="C79" s="42" t="s">
        <v>224</v>
      </c>
      <c r="D79" s="17" t="s">
        <v>224</v>
      </c>
      <c r="E79" s="26" t="e">
        <f>VLOOKUP(C79,#REF!,3,0)</f>
        <v>#REF!</v>
      </c>
      <c r="F79" s="205" t="s">
        <v>1384</v>
      </c>
      <c r="G79" s="25" t="s">
        <v>1376</v>
      </c>
      <c r="H79" s="25"/>
      <c r="I79" s="35">
        <v>2</v>
      </c>
      <c r="J79" s="36" t="s">
        <v>1256</v>
      </c>
      <c r="K79" s="37"/>
      <c r="L79" s="38"/>
      <c r="M79" s="39"/>
      <c r="N79" s="44">
        <v>800</v>
      </c>
      <c r="O79" s="25" t="s">
        <v>1385</v>
      </c>
      <c r="P79" s="34" t="s">
        <v>1410</v>
      </c>
    </row>
    <row r="80" spans="2:16" ht="27.75" customHeight="1">
      <c r="B80" s="25">
        <f t="shared" si="1"/>
        <v>76</v>
      </c>
      <c r="C80" s="42" t="s">
        <v>225</v>
      </c>
      <c r="D80" s="17" t="s">
        <v>225</v>
      </c>
      <c r="E80" s="26" t="e">
        <f>VLOOKUP(C80,#REF!,3,0)</f>
        <v>#REF!</v>
      </c>
      <c r="F80" s="205" t="s">
        <v>1384</v>
      </c>
      <c r="G80" s="25" t="s">
        <v>1376</v>
      </c>
      <c r="H80" s="25"/>
      <c r="I80" s="35">
        <v>2</v>
      </c>
      <c r="J80" s="36" t="s">
        <v>1256</v>
      </c>
      <c r="K80" s="37"/>
      <c r="L80" s="38"/>
      <c r="M80" s="39"/>
      <c r="N80" s="44">
        <v>800</v>
      </c>
      <c r="O80" s="25" t="s">
        <v>1385</v>
      </c>
      <c r="P80" s="34" t="s">
        <v>1411</v>
      </c>
    </row>
    <row r="81" spans="2:16" ht="27.75" customHeight="1">
      <c r="B81" s="25">
        <f t="shared" si="1"/>
        <v>77</v>
      </c>
      <c r="C81" s="42" t="s">
        <v>226</v>
      </c>
      <c r="D81" s="17" t="s">
        <v>226</v>
      </c>
      <c r="E81" s="26" t="e">
        <f>VLOOKUP(C81,#REF!,3,0)</f>
        <v>#REF!</v>
      </c>
      <c r="F81" s="205" t="s">
        <v>1384</v>
      </c>
      <c r="G81" s="25" t="s">
        <v>1376</v>
      </c>
      <c r="H81" s="25"/>
      <c r="I81" s="35">
        <v>2</v>
      </c>
      <c r="J81" s="36"/>
      <c r="K81" s="37"/>
      <c r="L81" s="38"/>
      <c r="M81" s="39" t="s">
        <v>1250</v>
      </c>
      <c r="N81" s="44">
        <v>800</v>
      </c>
      <c r="O81" s="25" t="s">
        <v>1385</v>
      </c>
      <c r="P81" s="34" t="s">
        <v>1386</v>
      </c>
    </row>
    <row r="82" spans="2:16" ht="27.75" customHeight="1">
      <c r="B82" s="25">
        <f t="shared" si="1"/>
        <v>78</v>
      </c>
      <c r="C82" s="42" t="s">
        <v>482</v>
      </c>
      <c r="D82" s="17" t="s">
        <v>482</v>
      </c>
      <c r="E82" s="26" t="e">
        <f>VLOOKUP(C82,#REF!,3,0)</f>
        <v>#REF!</v>
      </c>
      <c r="F82" s="205" t="s">
        <v>1412</v>
      </c>
      <c r="G82" s="25" t="s">
        <v>1381</v>
      </c>
      <c r="H82" s="25"/>
      <c r="I82" s="35">
        <v>4</v>
      </c>
      <c r="J82" s="36"/>
      <c r="K82" s="37"/>
      <c r="L82" s="38"/>
      <c r="M82" s="39" t="s">
        <v>1250</v>
      </c>
      <c r="N82" s="44">
        <v>800</v>
      </c>
      <c r="O82" s="25" t="s">
        <v>1385</v>
      </c>
      <c r="P82" s="34" t="s">
        <v>1413</v>
      </c>
    </row>
    <row r="83" spans="2:16" ht="27.75" customHeight="1">
      <c r="B83" s="25">
        <f t="shared" si="1"/>
        <v>79</v>
      </c>
      <c r="C83" s="42" t="s">
        <v>483</v>
      </c>
      <c r="D83" s="17" t="s">
        <v>483</v>
      </c>
      <c r="E83" s="26" t="e">
        <f>VLOOKUP(C83,#REF!,3,0)</f>
        <v>#REF!</v>
      </c>
      <c r="F83" s="205" t="s">
        <v>1412</v>
      </c>
      <c r="G83" s="25" t="s">
        <v>1381</v>
      </c>
      <c r="H83" s="25"/>
      <c r="I83" s="35">
        <v>4</v>
      </c>
      <c r="J83" s="36"/>
      <c r="K83" s="37"/>
      <c r="L83" s="38"/>
      <c r="M83" s="39" t="s">
        <v>1250</v>
      </c>
      <c r="N83" s="44">
        <v>800</v>
      </c>
      <c r="O83" s="25" t="s">
        <v>1385</v>
      </c>
      <c r="P83" s="34" t="s">
        <v>1413</v>
      </c>
    </row>
    <row r="84" spans="2:16" ht="27.75" customHeight="1">
      <c r="B84" s="25">
        <f t="shared" si="1"/>
        <v>80</v>
      </c>
      <c r="C84" s="42" t="s">
        <v>210</v>
      </c>
      <c r="D84" s="17" t="s">
        <v>210</v>
      </c>
      <c r="E84" s="26" t="e">
        <f>VLOOKUP(C84,#REF!,3,0)</f>
        <v>#REF!</v>
      </c>
      <c r="F84" s="205" t="s">
        <v>1367</v>
      </c>
      <c r="G84" s="25" t="s">
        <v>1365</v>
      </c>
      <c r="H84" s="25" t="s">
        <v>1215</v>
      </c>
      <c r="I84" s="35">
        <v>4</v>
      </c>
      <c r="J84" s="36"/>
      <c r="K84" s="37"/>
      <c r="L84" s="38"/>
      <c r="M84" s="39" t="s">
        <v>1250</v>
      </c>
      <c r="N84" s="44">
        <v>800</v>
      </c>
      <c r="O84" s="25" t="s">
        <v>1290</v>
      </c>
      <c r="P84" s="34" t="s">
        <v>1400</v>
      </c>
    </row>
    <row r="85" spans="2:16" ht="27.75" customHeight="1">
      <c r="B85" s="25">
        <f t="shared" si="1"/>
        <v>81</v>
      </c>
      <c r="C85" s="42" t="s">
        <v>38</v>
      </c>
      <c r="D85" s="17" t="s">
        <v>38</v>
      </c>
      <c r="E85" s="26" t="e">
        <f>VLOOKUP(C85,#REF!,3,0)</f>
        <v>#REF!</v>
      </c>
      <c r="F85" s="205" t="s">
        <v>1367</v>
      </c>
      <c r="G85" s="25" t="s">
        <v>1365</v>
      </c>
      <c r="H85" s="25" t="s">
        <v>1215</v>
      </c>
      <c r="I85" s="35">
        <v>4</v>
      </c>
      <c r="J85" s="36" t="s">
        <v>1256</v>
      </c>
      <c r="K85" s="37"/>
      <c r="L85" s="38"/>
      <c r="M85" s="39"/>
      <c r="N85" s="44">
        <v>800</v>
      </c>
      <c r="O85" s="25" t="s">
        <v>1290</v>
      </c>
      <c r="P85" s="34" t="s">
        <v>1400</v>
      </c>
    </row>
    <row r="86" spans="2:16" ht="27.75" customHeight="1">
      <c r="B86" s="25">
        <f t="shared" si="1"/>
        <v>82</v>
      </c>
      <c r="C86" s="42" t="s">
        <v>1029</v>
      </c>
      <c r="D86" s="17" t="s">
        <v>1029</v>
      </c>
      <c r="E86" s="26" t="e">
        <f>VLOOKUP(C86,#REF!,3,0)</f>
        <v>#REF!</v>
      </c>
      <c r="F86" s="205" t="s">
        <v>1395</v>
      </c>
      <c r="G86" s="25" t="s">
        <v>1396</v>
      </c>
      <c r="H86" s="25" t="s">
        <v>1215</v>
      </c>
      <c r="I86" s="35">
        <v>4</v>
      </c>
      <c r="J86" s="36"/>
      <c r="K86" s="37"/>
      <c r="L86" s="38"/>
      <c r="M86" s="39" t="s">
        <v>1250</v>
      </c>
      <c r="N86" s="44">
        <v>800</v>
      </c>
      <c r="O86" s="25" t="s">
        <v>1290</v>
      </c>
      <c r="P86" s="34" t="s">
        <v>1408</v>
      </c>
    </row>
    <row r="87" spans="2:16" ht="27.75" customHeight="1">
      <c r="B87" s="25">
        <f t="shared" si="1"/>
        <v>83</v>
      </c>
      <c r="C87" s="42" t="s">
        <v>1030</v>
      </c>
      <c r="D87" s="17" t="s">
        <v>1030</v>
      </c>
      <c r="E87" s="26" t="e">
        <f>VLOOKUP(C87,#REF!,3,0)</f>
        <v>#REF!</v>
      </c>
      <c r="F87" s="205" t="s">
        <v>1395</v>
      </c>
      <c r="G87" s="25" t="s">
        <v>1396</v>
      </c>
      <c r="H87" s="25" t="s">
        <v>1215</v>
      </c>
      <c r="I87" s="35">
        <v>4</v>
      </c>
      <c r="J87" s="36"/>
      <c r="K87" s="37"/>
      <c r="L87" s="38"/>
      <c r="M87" s="39" t="s">
        <v>1250</v>
      </c>
      <c r="N87" s="44">
        <v>800</v>
      </c>
      <c r="O87" s="25" t="s">
        <v>1290</v>
      </c>
      <c r="P87" s="34" t="s">
        <v>1408</v>
      </c>
    </row>
    <row r="88" spans="2:16" ht="27.75" customHeight="1">
      <c r="B88" s="25">
        <f t="shared" si="1"/>
        <v>84</v>
      </c>
      <c r="C88" s="42" t="s">
        <v>1031</v>
      </c>
      <c r="D88" s="17" t="s">
        <v>1031</v>
      </c>
      <c r="E88" s="26" t="e">
        <f>VLOOKUP(C88,#REF!,3,0)</f>
        <v>#REF!</v>
      </c>
      <c r="F88" s="205" t="s">
        <v>1395</v>
      </c>
      <c r="G88" s="25" t="s">
        <v>1396</v>
      </c>
      <c r="H88" s="25" t="s">
        <v>1215</v>
      </c>
      <c r="I88" s="35">
        <v>4</v>
      </c>
      <c r="J88" s="36"/>
      <c r="K88" s="37"/>
      <c r="L88" s="38"/>
      <c r="M88" s="39" t="s">
        <v>1250</v>
      </c>
      <c r="N88" s="44">
        <v>800</v>
      </c>
      <c r="O88" s="25" t="s">
        <v>1290</v>
      </c>
      <c r="P88" s="34" t="s">
        <v>1408</v>
      </c>
    </row>
    <row r="89" spans="2:16" ht="27.75" customHeight="1">
      <c r="B89" s="25">
        <f t="shared" si="1"/>
        <v>85</v>
      </c>
      <c r="C89" s="42" t="s">
        <v>444</v>
      </c>
      <c r="D89" s="17" t="s">
        <v>444</v>
      </c>
      <c r="E89" s="26" t="e">
        <f>VLOOKUP(C89,#REF!,3,0)</f>
        <v>#REF!</v>
      </c>
      <c r="F89" s="205" t="s">
        <v>1369</v>
      </c>
      <c r="G89" s="25" t="s">
        <v>1370</v>
      </c>
      <c r="H89" s="25"/>
      <c r="I89" s="35">
        <v>4</v>
      </c>
      <c r="J89" s="36" t="s">
        <v>1256</v>
      </c>
      <c r="K89" s="37"/>
      <c r="L89" s="38"/>
      <c r="M89" s="39"/>
      <c r="N89" s="44">
        <v>800</v>
      </c>
      <c r="O89" s="25" t="s">
        <v>1290</v>
      </c>
      <c r="P89" s="34" t="s">
        <v>1372</v>
      </c>
    </row>
    <row r="90" spans="2:16" ht="27.75" customHeight="1">
      <c r="B90" s="25">
        <f t="shared" si="1"/>
        <v>86</v>
      </c>
      <c r="C90" s="42" t="s">
        <v>445</v>
      </c>
      <c r="D90" s="17" t="s">
        <v>445</v>
      </c>
      <c r="E90" s="26" t="e">
        <f>VLOOKUP(C90,#REF!,3,0)</f>
        <v>#REF!</v>
      </c>
      <c r="F90" s="205" t="s">
        <v>1369</v>
      </c>
      <c r="G90" s="25" t="s">
        <v>1370</v>
      </c>
      <c r="H90" s="25"/>
      <c r="I90" s="35">
        <v>4</v>
      </c>
      <c r="J90" s="36"/>
      <c r="K90" s="37"/>
      <c r="L90" s="38"/>
      <c r="M90" s="39" t="s">
        <v>1250</v>
      </c>
      <c r="N90" s="44">
        <v>800</v>
      </c>
      <c r="O90" s="25" t="s">
        <v>1290</v>
      </c>
      <c r="P90" s="34" t="s">
        <v>1372</v>
      </c>
    </row>
    <row r="91" spans="2:16" ht="27.75" customHeight="1">
      <c r="B91" s="25">
        <f t="shared" si="1"/>
        <v>87</v>
      </c>
      <c r="C91" s="42" t="s">
        <v>221</v>
      </c>
      <c r="D91" s="17" t="s">
        <v>221</v>
      </c>
      <c r="E91" s="26" t="e">
        <f>VLOOKUP(C91,#REF!,3,0)</f>
        <v>#REF!</v>
      </c>
      <c r="F91" s="205" t="s">
        <v>1375</v>
      </c>
      <c r="G91" s="25" t="s">
        <v>1376</v>
      </c>
      <c r="H91" s="25"/>
      <c r="I91" s="35">
        <v>4</v>
      </c>
      <c r="J91" s="36" t="s">
        <v>1256</v>
      </c>
      <c r="K91" s="37"/>
      <c r="L91" s="38"/>
      <c r="M91" s="39"/>
      <c r="N91" s="44">
        <v>800</v>
      </c>
      <c r="O91" s="25" t="s">
        <v>1290</v>
      </c>
      <c r="P91" s="34" t="s">
        <v>1378</v>
      </c>
    </row>
    <row r="92" spans="2:16" ht="27.75" customHeight="1">
      <c r="B92" s="25">
        <f t="shared" si="1"/>
        <v>88</v>
      </c>
      <c r="C92" s="42" t="s">
        <v>222</v>
      </c>
      <c r="D92" s="17" t="s">
        <v>222</v>
      </c>
      <c r="E92" s="26" t="e">
        <f>VLOOKUP(C92,#REF!,3,0)</f>
        <v>#REF!</v>
      </c>
      <c r="F92" s="205" t="s">
        <v>1375</v>
      </c>
      <c r="G92" s="25" t="s">
        <v>1376</v>
      </c>
      <c r="H92" s="25"/>
      <c r="I92" s="35">
        <v>4</v>
      </c>
      <c r="J92" s="36"/>
      <c r="K92" s="37"/>
      <c r="L92" s="38"/>
      <c r="M92" s="39" t="s">
        <v>1250</v>
      </c>
      <c r="N92" s="44">
        <v>800</v>
      </c>
      <c r="O92" s="25" t="s">
        <v>1290</v>
      </c>
      <c r="P92" s="34" t="s">
        <v>1378</v>
      </c>
    </row>
    <row r="93" spans="2:16" ht="27.75" customHeight="1">
      <c r="B93" s="25">
        <f t="shared" si="1"/>
        <v>89</v>
      </c>
      <c r="C93" s="42" t="s">
        <v>343</v>
      </c>
      <c r="D93" s="17" t="s">
        <v>343</v>
      </c>
      <c r="E93" s="26" t="e">
        <f>VLOOKUP(C93,#REF!,3,0)</f>
        <v>#REF!</v>
      </c>
      <c r="F93" s="205" t="s">
        <v>1414</v>
      </c>
      <c r="G93" s="25" t="s">
        <v>1415</v>
      </c>
      <c r="H93" s="25"/>
      <c r="I93" s="35">
        <v>4</v>
      </c>
      <c r="J93" s="36" t="s">
        <v>1256</v>
      </c>
      <c r="K93" s="37"/>
      <c r="L93" s="38"/>
      <c r="M93" s="39"/>
      <c r="N93" s="44">
        <v>800</v>
      </c>
      <c r="O93" s="25" t="s">
        <v>1385</v>
      </c>
      <c r="P93" s="34" t="s">
        <v>1416</v>
      </c>
    </row>
    <row r="94" spans="2:16" ht="27.75" customHeight="1">
      <c r="B94" s="25">
        <f t="shared" si="1"/>
        <v>90</v>
      </c>
      <c r="C94" s="42" t="s">
        <v>914</v>
      </c>
      <c r="D94" s="17" t="s">
        <v>914</v>
      </c>
      <c r="E94" s="26" t="e">
        <f>VLOOKUP(C94,#REF!,3,0)</f>
        <v>#REF!</v>
      </c>
      <c r="F94" s="205" t="s">
        <v>1417</v>
      </c>
      <c r="G94" s="25" t="s">
        <v>1418</v>
      </c>
      <c r="H94" s="25" t="s">
        <v>1215</v>
      </c>
      <c r="I94" s="35">
        <v>4</v>
      </c>
      <c r="J94" s="36"/>
      <c r="K94" s="37"/>
      <c r="L94" s="38"/>
      <c r="M94" s="39" t="s">
        <v>1250</v>
      </c>
      <c r="N94" s="44">
        <v>800</v>
      </c>
      <c r="O94" s="25" t="s">
        <v>1290</v>
      </c>
      <c r="P94" s="34" t="s">
        <v>1419</v>
      </c>
    </row>
    <row r="95" spans="2:16" ht="27.75" customHeight="1">
      <c r="B95" s="25">
        <f t="shared" si="1"/>
        <v>91</v>
      </c>
      <c r="C95" s="42" t="s">
        <v>854</v>
      </c>
      <c r="D95" s="17" t="s">
        <v>854</v>
      </c>
      <c r="E95" s="26" t="e">
        <f>VLOOKUP(C95,#REF!,3,0)</f>
        <v>#REF!</v>
      </c>
      <c r="F95" s="205" t="s">
        <v>1420</v>
      </c>
      <c r="G95" s="25" t="s">
        <v>1421</v>
      </c>
      <c r="H95" s="25"/>
      <c r="I95" s="35">
        <v>4</v>
      </c>
      <c r="J95" s="36" t="s">
        <v>1256</v>
      </c>
      <c r="K95" s="37"/>
      <c r="L95" s="38"/>
      <c r="M95" s="39"/>
      <c r="N95" s="44">
        <v>800</v>
      </c>
      <c r="O95" s="25" t="s">
        <v>1290</v>
      </c>
      <c r="P95" s="34" t="s">
        <v>1422</v>
      </c>
    </row>
    <row r="96" spans="2:16" ht="27.75" customHeight="1">
      <c r="B96" s="25">
        <f t="shared" si="1"/>
        <v>92</v>
      </c>
      <c r="C96" s="42" t="s">
        <v>924</v>
      </c>
      <c r="D96" s="17" t="s">
        <v>924</v>
      </c>
      <c r="E96" s="26" t="e">
        <f>VLOOKUP(C96,#REF!,3,0)</f>
        <v>#REF!</v>
      </c>
      <c r="F96" s="205" t="s">
        <v>1423</v>
      </c>
      <c r="G96" s="25" t="s">
        <v>1424</v>
      </c>
      <c r="H96" s="25"/>
      <c r="I96" s="35">
        <v>8</v>
      </c>
      <c r="J96" s="36" t="s">
        <v>1256</v>
      </c>
      <c r="K96" s="37"/>
      <c r="L96" s="38"/>
      <c r="M96" s="39"/>
      <c r="N96" s="44">
        <v>1000</v>
      </c>
      <c r="O96" s="25" t="s">
        <v>1385</v>
      </c>
      <c r="P96" s="34" t="s">
        <v>1425</v>
      </c>
    </row>
    <row r="97" spans="2:16" ht="27.75" customHeight="1">
      <c r="B97" s="25">
        <f t="shared" si="1"/>
        <v>93</v>
      </c>
      <c r="C97" s="42" t="s">
        <v>925</v>
      </c>
      <c r="D97" s="17" t="s">
        <v>925</v>
      </c>
      <c r="E97" s="26" t="e">
        <f>VLOOKUP(C97,#REF!,3,0)</f>
        <v>#REF!</v>
      </c>
      <c r="F97" s="205" t="s">
        <v>1426</v>
      </c>
      <c r="G97" s="25" t="s">
        <v>1427</v>
      </c>
      <c r="H97" s="25"/>
      <c r="I97" s="35">
        <v>8</v>
      </c>
      <c r="J97" s="36" t="s">
        <v>1256</v>
      </c>
      <c r="K97" s="37"/>
      <c r="L97" s="38"/>
      <c r="M97" s="39"/>
      <c r="N97" s="44">
        <v>1000</v>
      </c>
      <c r="O97" s="25" t="s">
        <v>1385</v>
      </c>
      <c r="P97" s="34" t="s">
        <v>1428</v>
      </c>
    </row>
    <row r="98" spans="2:16" ht="27.75" customHeight="1">
      <c r="B98" s="25">
        <f t="shared" si="1"/>
        <v>94</v>
      </c>
      <c r="C98" s="42" t="s">
        <v>45</v>
      </c>
      <c r="D98" s="17" t="s">
        <v>45</v>
      </c>
      <c r="E98" s="26" t="e">
        <f>VLOOKUP(C98,#REF!,3,0)</f>
        <v>#REF!</v>
      </c>
      <c r="F98" s="205" t="s">
        <v>1429</v>
      </c>
      <c r="G98" s="25" t="s">
        <v>1430</v>
      </c>
      <c r="H98" s="25" t="s">
        <v>1215</v>
      </c>
      <c r="I98" s="35">
        <v>4</v>
      </c>
      <c r="J98" s="36" t="s">
        <v>1256</v>
      </c>
      <c r="K98" s="37"/>
      <c r="L98" s="38"/>
      <c r="M98" s="39"/>
      <c r="N98" s="44">
        <v>800</v>
      </c>
      <c r="O98" s="25" t="s">
        <v>1431</v>
      </c>
      <c r="P98" s="34" t="s">
        <v>1432</v>
      </c>
    </row>
    <row r="99" spans="2:16" ht="27.75" customHeight="1">
      <c r="B99" s="25">
        <f t="shared" si="1"/>
        <v>95</v>
      </c>
      <c r="C99" s="42" t="s">
        <v>294</v>
      </c>
      <c r="D99" s="17" t="s">
        <v>294</v>
      </c>
      <c r="E99" s="26" t="e">
        <f>VLOOKUP(C99,#REF!,3,0)</f>
        <v>#REF!</v>
      </c>
      <c r="F99" s="205" t="s">
        <v>1433</v>
      </c>
      <c r="G99" s="25" t="s">
        <v>1434</v>
      </c>
      <c r="H99" s="25"/>
      <c r="I99" s="35">
        <v>4</v>
      </c>
      <c r="J99" s="36" t="s">
        <v>1256</v>
      </c>
      <c r="K99" s="37"/>
      <c r="L99" s="38"/>
      <c r="M99" s="39"/>
      <c r="N99" s="44">
        <v>800</v>
      </c>
      <c r="O99" s="25" t="s">
        <v>1360</v>
      </c>
      <c r="P99" s="34" t="s">
        <v>1435</v>
      </c>
    </row>
    <row r="100" spans="2:16" ht="27.75" customHeight="1">
      <c r="B100" s="25">
        <f t="shared" si="1"/>
        <v>96</v>
      </c>
      <c r="C100" s="42" t="s">
        <v>295</v>
      </c>
      <c r="D100" s="17" t="s">
        <v>295</v>
      </c>
      <c r="E100" s="26" t="e">
        <f>VLOOKUP(C100,#REF!,3,0)</f>
        <v>#REF!</v>
      </c>
      <c r="F100" s="205" t="s">
        <v>1436</v>
      </c>
      <c r="G100" s="25" t="s">
        <v>1437</v>
      </c>
      <c r="H100" s="25"/>
      <c r="I100" s="35">
        <v>4</v>
      </c>
      <c r="J100" s="36" t="s">
        <v>1256</v>
      </c>
      <c r="K100" s="37"/>
      <c r="L100" s="38"/>
      <c r="M100" s="39"/>
      <c r="N100" s="44">
        <v>800</v>
      </c>
      <c r="O100" s="25" t="s">
        <v>1360</v>
      </c>
      <c r="P100" s="34" t="s">
        <v>1438</v>
      </c>
    </row>
    <row r="101" spans="2:16" ht="27.75" customHeight="1">
      <c r="B101" s="25">
        <f t="shared" si="1"/>
        <v>97</v>
      </c>
      <c r="C101" s="42" t="s">
        <v>999</v>
      </c>
      <c r="D101" s="17" t="s">
        <v>999</v>
      </c>
      <c r="E101" s="26" t="e">
        <f>VLOOKUP(C101,#REF!,3,0)</f>
        <v>#REF!</v>
      </c>
      <c r="F101" s="205" t="s">
        <v>1439</v>
      </c>
      <c r="G101" s="25" t="s">
        <v>1440</v>
      </c>
      <c r="H101" s="25"/>
      <c r="I101" s="35">
        <v>4</v>
      </c>
      <c r="J101" s="36" t="s">
        <v>1256</v>
      </c>
      <c r="K101" s="37"/>
      <c r="L101" s="38"/>
      <c r="M101" s="39"/>
      <c r="N101" s="44">
        <v>800</v>
      </c>
      <c r="O101" s="25" t="s">
        <v>1441</v>
      </c>
      <c r="P101" s="34" t="s">
        <v>1442</v>
      </c>
    </row>
    <row r="102" spans="2:16" ht="27.75" customHeight="1">
      <c r="B102" s="25">
        <f t="shared" si="1"/>
        <v>98</v>
      </c>
      <c r="C102" s="42" t="s">
        <v>1000</v>
      </c>
      <c r="D102" s="17" t="s">
        <v>1000</v>
      </c>
      <c r="E102" s="26" t="e">
        <f>VLOOKUP(C102,#REF!,3,0)</f>
        <v>#REF!</v>
      </c>
      <c r="F102" s="205" t="s">
        <v>1443</v>
      </c>
      <c r="G102" s="25" t="s">
        <v>1444</v>
      </c>
      <c r="H102" s="25"/>
      <c r="I102" s="35">
        <v>4</v>
      </c>
      <c r="J102" s="36" t="s">
        <v>1256</v>
      </c>
      <c r="K102" s="37"/>
      <c r="L102" s="38"/>
      <c r="M102" s="39"/>
      <c r="N102" s="44">
        <v>800</v>
      </c>
      <c r="O102" s="25" t="s">
        <v>1441</v>
      </c>
      <c r="P102" s="34" t="s">
        <v>1442</v>
      </c>
    </row>
    <row r="103" spans="2:16" ht="27.75" customHeight="1">
      <c r="B103" s="25">
        <f t="shared" si="1"/>
        <v>99</v>
      </c>
      <c r="C103" s="42" t="s">
        <v>1089</v>
      </c>
      <c r="D103" s="17" t="s">
        <v>1089</v>
      </c>
      <c r="E103" s="26" t="e">
        <f>VLOOKUP(C103,#REF!,3,0)</f>
        <v>#REF!</v>
      </c>
      <c r="F103" s="205" t="s">
        <v>1445</v>
      </c>
      <c r="G103" s="25" t="s">
        <v>1446</v>
      </c>
      <c r="H103" s="25" t="s">
        <v>1215</v>
      </c>
      <c r="I103" s="35">
        <v>4</v>
      </c>
      <c r="J103" s="36" t="s">
        <v>1256</v>
      </c>
      <c r="K103" s="37"/>
      <c r="L103" s="38"/>
      <c r="M103" s="39"/>
      <c r="N103" s="44">
        <v>800</v>
      </c>
      <c r="O103" s="25" t="s">
        <v>1441</v>
      </c>
      <c r="P103" s="34" t="s">
        <v>1447</v>
      </c>
    </row>
    <row r="104" spans="2:16" ht="27.75" customHeight="1">
      <c r="B104" s="25">
        <f t="shared" si="1"/>
        <v>100</v>
      </c>
      <c r="C104" s="42" t="s">
        <v>301</v>
      </c>
      <c r="D104" s="17" t="s">
        <v>301</v>
      </c>
      <c r="E104" s="26" t="e">
        <f>VLOOKUP(C104,#REF!,3,0)</f>
        <v>#REF!</v>
      </c>
      <c r="F104" s="205" t="s">
        <v>1448</v>
      </c>
      <c r="G104" s="25" t="s">
        <v>1449</v>
      </c>
      <c r="H104" s="25" t="s">
        <v>1215</v>
      </c>
      <c r="I104" s="35">
        <v>4</v>
      </c>
      <c r="J104" s="36" t="s">
        <v>1256</v>
      </c>
      <c r="K104" s="37"/>
      <c r="L104" s="38"/>
      <c r="M104" s="39"/>
      <c r="N104" s="44">
        <v>800</v>
      </c>
      <c r="O104" s="25" t="s">
        <v>1441</v>
      </c>
      <c r="P104" s="34" t="s">
        <v>1450</v>
      </c>
    </row>
    <row r="105" spans="2:16" ht="27.75" customHeight="1">
      <c r="B105" s="25">
        <f t="shared" si="1"/>
        <v>101</v>
      </c>
      <c r="C105" s="42" t="s">
        <v>302</v>
      </c>
      <c r="D105" s="17" t="s">
        <v>302</v>
      </c>
      <c r="E105" s="26" t="e">
        <f>VLOOKUP(C105,#REF!,3,0)</f>
        <v>#REF!</v>
      </c>
      <c r="F105" s="205" t="s">
        <v>1451</v>
      </c>
      <c r="G105" s="25" t="s">
        <v>1452</v>
      </c>
      <c r="H105" s="25"/>
      <c r="I105" s="35">
        <v>4</v>
      </c>
      <c r="J105" s="36" t="s">
        <v>1256</v>
      </c>
      <c r="K105" s="37"/>
      <c r="L105" s="38"/>
      <c r="M105" s="39"/>
      <c r="N105" s="44">
        <v>800</v>
      </c>
      <c r="O105" s="25" t="s">
        <v>1441</v>
      </c>
      <c r="P105" s="34" t="s">
        <v>1453</v>
      </c>
    </row>
    <row r="106" spans="2:16" ht="27.75" customHeight="1">
      <c r="B106" s="25">
        <f t="shared" si="1"/>
        <v>102</v>
      </c>
      <c r="C106" s="42" t="s">
        <v>829</v>
      </c>
      <c r="D106" s="17" t="s">
        <v>829</v>
      </c>
      <c r="E106" s="26" t="e">
        <f>VLOOKUP(C106,#REF!,3,0)</f>
        <v>#REF!</v>
      </c>
      <c r="F106" s="207"/>
      <c r="G106" s="25" t="s">
        <v>1454</v>
      </c>
      <c r="H106" s="25"/>
      <c r="I106" s="35">
        <v>4</v>
      </c>
      <c r="J106" s="36" t="s">
        <v>1256</v>
      </c>
      <c r="K106" s="37"/>
      <c r="L106" s="38"/>
      <c r="M106" s="39"/>
      <c r="N106" s="44">
        <v>800</v>
      </c>
      <c r="O106" s="25" t="s">
        <v>1360</v>
      </c>
      <c r="P106" s="34"/>
    </row>
    <row r="107" spans="2:16" ht="27.75" customHeight="1">
      <c r="B107" s="25">
        <f t="shared" si="1"/>
        <v>103</v>
      </c>
      <c r="C107" s="42" t="s">
        <v>849</v>
      </c>
      <c r="D107" s="17" t="s">
        <v>849</v>
      </c>
      <c r="E107" s="26" t="e">
        <f>VLOOKUP(C107,#REF!,3,0)</f>
        <v>#REF!</v>
      </c>
      <c r="F107" s="205" t="s">
        <v>1455</v>
      </c>
      <c r="G107" s="25" t="s">
        <v>1456</v>
      </c>
      <c r="H107" s="25" t="s">
        <v>1215</v>
      </c>
      <c r="I107" s="35">
        <v>2</v>
      </c>
      <c r="J107" s="36" t="s">
        <v>1256</v>
      </c>
      <c r="K107" s="37"/>
      <c r="L107" s="38"/>
      <c r="M107" s="39"/>
      <c r="N107" s="44">
        <v>800</v>
      </c>
      <c r="O107" s="25" t="s">
        <v>1360</v>
      </c>
      <c r="P107" s="34" t="s">
        <v>1457</v>
      </c>
    </row>
    <row r="108" spans="2:16" ht="27.75" customHeight="1">
      <c r="B108" s="25">
        <f t="shared" si="1"/>
        <v>104</v>
      </c>
      <c r="C108" s="42" t="s">
        <v>850</v>
      </c>
      <c r="D108" s="17" t="s">
        <v>850</v>
      </c>
      <c r="E108" s="26" t="e">
        <f>VLOOKUP(C108,#REF!,3,0)</f>
        <v>#REF!</v>
      </c>
      <c r="F108" s="205" t="s">
        <v>1458</v>
      </c>
      <c r="G108" s="25" t="s">
        <v>1459</v>
      </c>
      <c r="H108" s="25" t="s">
        <v>1215</v>
      </c>
      <c r="I108" s="35">
        <v>2</v>
      </c>
      <c r="J108" s="36" t="s">
        <v>1256</v>
      </c>
      <c r="K108" s="37"/>
      <c r="L108" s="38"/>
      <c r="M108" s="39"/>
      <c r="N108" s="44">
        <v>800</v>
      </c>
      <c r="O108" s="25" t="s">
        <v>1360</v>
      </c>
      <c r="P108" s="34" t="s">
        <v>1460</v>
      </c>
    </row>
    <row r="109" spans="2:16" ht="27.75" customHeight="1">
      <c r="B109" s="25">
        <f t="shared" si="1"/>
        <v>105</v>
      </c>
      <c r="C109" s="42" t="s">
        <v>853</v>
      </c>
      <c r="D109" s="17" t="s">
        <v>853</v>
      </c>
      <c r="E109" s="26" t="e">
        <f>VLOOKUP(C109,#REF!,3,0)</f>
        <v>#REF!</v>
      </c>
      <c r="F109" s="205" t="s">
        <v>1461</v>
      </c>
      <c r="G109" s="25" t="s">
        <v>1421</v>
      </c>
      <c r="H109" s="25"/>
      <c r="I109" s="35">
        <v>4</v>
      </c>
      <c r="J109" s="36" t="s">
        <v>1256</v>
      </c>
      <c r="K109" s="37"/>
      <c r="L109" s="38"/>
      <c r="M109" s="39"/>
      <c r="N109" s="44">
        <v>800</v>
      </c>
      <c r="O109" s="25" t="s">
        <v>1360</v>
      </c>
      <c r="P109" s="34"/>
    </row>
    <row r="110" spans="2:16" ht="27.75" customHeight="1">
      <c r="B110" s="25">
        <f t="shared" si="1"/>
        <v>106</v>
      </c>
      <c r="C110" s="42" t="s">
        <v>855</v>
      </c>
      <c r="D110" s="17" t="s">
        <v>855</v>
      </c>
      <c r="E110" s="26" t="e">
        <f>VLOOKUP(C110,#REF!,3,0)</f>
        <v>#REF!</v>
      </c>
      <c r="F110" s="205" t="s">
        <v>1462</v>
      </c>
      <c r="G110" s="25" t="s">
        <v>1463</v>
      </c>
      <c r="H110" s="25"/>
      <c r="I110" s="35">
        <v>4</v>
      </c>
      <c r="J110" s="36" t="s">
        <v>1256</v>
      </c>
      <c r="K110" s="37"/>
      <c r="L110" s="38"/>
      <c r="M110" s="39"/>
      <c r="N110" s="44">
        <v>800</v>
      </c>
      <c r="O110" s="25" t="s">
        <v>1360</v>
      </c>
      <c r="P110" s="34"/>
    </row>
    <row r="111" spans="2:16" ht="27.75" customHeight="1">
      <c r="B111" s="25">
        <f t="shared" si="1"/>
        <v>107</v>
      </c>
      <c r="C111" s="42" t="s">
        <v>335</v>
      </c>
      <c r="D111" s="17" t="s">
        <v>335</v>
      </c>
      <c r="E111" s="26" t="e">
        <f>VLOOKUP(C111,#REF!,3,0)</f>
        <v>#REF!</v>
      </c>
      <c r="F111" s="205" t="s">
        <v>1464</v>
      </c>
      <c r="G111" s="25" t="s">
        <v>1465</v>
      </c>
      <c r="H111" s="25"/>
      <c r="I111" s="35">
        <v>4</v>
      </c>
      <c r="J111" s="36" t="s">
        <v>1256</v>
      </c>
      <c r="K111" s="37"/>
      <c r="L111" s="38"/>
      <c r="M111" s="39"/>
      <c r="N111" s="44">
        <v>800</v>
      </c>
      <c r="O111" s="25" t="s">
        <v>1360</v>
      </c>
      <c r="P111" s="34"/>
    </row>
    <row r="112" spans="2:16" ht="27.75" customHeight="1">
      <c r="B112" s="25">
        <f t="shared" si="1"/>
        <v>108</v>
      </c>
      <c r="C112" s="42" t="s">
        <v>336</v>
      </c>
      <c r="D112" s="17" t="s">
        <v>336</v>
      </c>
      <c r="E112" s="26" t="e">
        <f>VLOOKUP(C112,#REF!,3,0)</f>
        <v>#REF!</v>
      </c>
      <c r="F112" s="205" t="s">
        <v>1466</v>
      </c>
      <c r="G112" s="25" t="s">
        <v>1467</v>
      </c>
      <c r="H112" s="25"/>
      <c r="I112" s="35">
        <v>4</v>
      </c>
      <c r="J112" s="36" t="s">
        <v>1256</v>
      </c>
      <c r="K112" s="37"/>
      <c r="L112" s="38"/>
      <c r="M112" s="39"/>
      <c r="N112" s="44">
        <v>800</v>
      </c>
      <c r="O112" s="25" t="s">
        <v>1360</v>
      </c>
      <c r="P112" s="34"/>
    </row>
    <row r="113" spans="2:16" ht="27.75" customHeight="1">
      <c r="B113" s="25">
        <f t="shared" si="1"/>
        <v>109</v>
      </c>
      <c r="C113" s="42" t="s">
        <v>341</v>
      </c>
      <c r="D113" s="17" t="s">
        <v>341</v>
      </c>
      <c r="E113" s="26" t="e">
        <f>VLOOKUP(C113,#REF!,3,0)</f>
        <v>#REF!</v>
      </c>
      <c r="F113" s="205" t="s">
        <v>1468</v>
      </c>
      <c r="G113" s="25" t="s">
        <v>1469</v>
      </c>
      <c r="H113" s="25"/>
      <c r="I113" s="35">
        <v>4</v>
      </c>
      <c r="J113" s="36" t="s">
        <v>1256</v>
      </c>
      <c r="K113" s="37"/>
      <c r="L113" s="38"/>
      <c r="M113" s="39"/>
      <c r="N113" s="44">
        <v>800</v>
      </c>
      <c r="O113" s="25" t="s">
        <v>1360</v>
      </c>
      <c r="P113" s="34"/>
    </row>
    <row r="114" spans="2:16" ht="27.75" customHeight="1">
      <c r="B114" s="25">
        <f t="shared" si="1"/>
        <v>110</v>
      </c>
      <c r="C114" s="42" t="s">
        <v>832</v>
      </c>
      <c r="D114" s="17" t="s">
        <v>832</v>
      </c>
      <c r="E114" s="26" t="e">
        <f>VLOOKUP(C114,#REF!,3,0)</f>
        <v>#REF!</v>
      </c>
      <c r="F114" s="205" t="s">
        <v>1470</v>
      </c>
      <c r="G114" s="25" t="s">
        <v>1471</v>
      </c>
      <c r="H114" s="25"/>
      <c r="I114" s="35">
        <v>4</v>
      </c>
      <c r="J114" s="36" t="s">
        <v>1256</v>
      </c>
      <c r="K114" s="37"/>
      <c r="L114" s="38"/>
      <c r="M114" s="39"/>
      <c r="N114" s="44">
        <v>800</v>
      </c>
      <c r="O114" s="25" t="s">
        <v>1360</v>
      </c>
      <c r="P114" s="34"/>
    </row>
    <row r="115" spans="2:16" ht="27.75" customHeight="1">
      <c r="B115" s="25">
        <f t="shared" si="1"/>
        <v>111</v>
      </c>
      <c r="C115" s="42" t="s">
        <v>281</v>
      </c>
      <c r="D115" s="17" t="s">
        <v>281</v>
      </c>
      <c r="E115" s="26" t="e">
        <f>VLOOKUP(C115,#REF!,3,0)</f>
        <v>#REF!</v>
      </c>
      <c r="F115" s="205" t="s">
        <v>1472</v>
      </c>
      <c r="G115" s="25" t="s">
        <v>1473</v>
      </c>
      <c r="H115" s="25"/>
      <c r="I115" s="35">
        <v>4</v>
      </c>
      <c r="J115" s="36" t="s">
        <v>1256</v>
      </c>
      <c r="K115" s="37"/>
      <c r="L115" s="38"/>
      <c r="M115" s="39"/>
      <c r="N115" s="44">
        <v>800</v>
      </c>
      <c r="O115" s="25" t="s">
        <v>1360</v>
      </c>
      <c r="P115" s="34"/>
    </row>
    <row r="116" spans="2:16" ht="27.75" customHeight="1">
      <c r="B116" s="25">
        <f t="shared" si="1"/>
        <v>112</v>
      </c>
      <c r="C116" s="42" t="s">
        <v>282</v>
      </c>
      <c r="D116" s="17" t="s">
        <v>282</v>
      </c>
      <c r="E116" s="26" t="e">
        <f>VLOOKUP(C116,#REF!,3,0)</f>
        <v>#REF!</v>
      </c>
      <c r="F116" s="205" t="s">
        <v>1474</v>
      </c>
      <c r="G116" s="25" t="s">
        <v>1475</v>
      </c>
      <c r="H116" s="25"/>
      <c r="I116" s="35">
        <v>4</v>
      </c>
      <c r="J116" s="36" t="s">
        <v>1256</v>
      </c>
      <c r="K116" s="37"/>
      <c r="L116" s="38"/>
      <c r="M116" s="39"/>
      <c r="N116" s="44">
        <v>800</v>
      </c>
      <c r="O116" s="25" t="s">
        <v>1360</v>
      </c>
      <c r="P116" s="34"/>
    </row>
    <row r="117" spans="2:16" ht="27.75" customHeight="1">
      <c r="B117" s="25">
        <f t="shared" si="1"/>
        <v>113</v>
      </c>
      <c r="C117" s="42" t="s">
        <v>834</v>
      </c>
      <c r="D117" s="17" t="s">
        <v>834</v>
      </c>
      <c r="E117" s="26" t="e">
        <f>VLOOKUP(C117,#REF!,3,0)</f>
        <v>#REF!</v>
      </c>
      <c r="F117" s="205" t="s">
        <v>1476</v>
      </c>
      <c r="G117" s="25" t="s">
        <v>1477</v>
      </c>
      <c r="H117" s="25"/>
      <c r="I117" s="35">
        <v>4</v>
      </c>
      <c r="J117" s="36" t="s">
        <v>1256</v>
      </c>
      <c r="K117" s="37"/>
      <c r="L117" s="38"/>
      <c r="M117" s="39"/>
      <c r="N117" s="44">
        <v>800</v>
      </c>
      <c r="O117" s="25" t="s">
        <v>1360</v>
      </c>
      <c r="P117" s="34"/>
    </row>
    <row r="118" spans="2:16" ht="27.75" customHeight="1">
      <c r="B118" s="25">
        <f t="shared" si="1"/>
        <v>114</v>
      </c>
      <c r="C118" s="42" t="s">
        <v>835</v>
      </c>
      <c r="D118" s="17" t="s">
        <v>835</v>
      </c>
      <c r="E118" s="26" t="e">
        <f>VLOOKUP(C118,#REF!,3,0)</f>
        <v>#REF!</v>
      </c>
      <c r="F118" s="205" t="s">
        <v>1478</v>
      </c>
      <c r="G118" s="25" t="s">
        <v>1479</v>
      </c>
      <c r="H118" s="25"/>
      <c r="I118" s="35">
        <v>4</v>
      </c>
      <c r="J118" s="36" t="s">
        <v>1256</v>
      </c>
      <c r="K118" s="37"/>
      <c r="L118" s="38"/>
      <c r="M118" s="39"/>
      <c r="N118" s="44">
        <v>800</v>
      </c>
      <c r="O118" s="25" t="s">
        <v>1360</v>
      </c>
      <c r="P118" s="34"/>
    </row>
    <row r="119" spans="2:16" ht="27.75" customHeight="1">
      <c r="B119" s="25">
        <f t="shared" si="1"/>
        <v>115</v>
      </c>
      <c r="C119" s="42" t="s">
        <v>837</v>
      </c>
      <c r="D119" s="17" t="s">
        <v>837</v>
      </c>
      <c r="E119" s="26" t="e">
        <f>VLOOKUP(C119,#REF!,3,0)</f>
        <v>#REF!</v>
      </c>
      <c r="F119" s="205" t="s">
        <v>1480</v>
      </c>
      <c r="G119" s="25" t="s">
        <v>1481</v>
      </c>
      <c r="H119" s="25"/>
      <c r="I119" s="35">
        <v>4</v>
      </c>
      <c r="J119" s="36" t="s">
        <v>1256</v>
      </c>
      <c r="K119" s="37"/>
      <c r="L119" s="38"/>
      <c r="M119" s="39"/>
      <c r="N119" s="44">
        <v>800</v>
      </c>
      <c r="O119" s="25" t="s">
        <v>1360</v>
      </c>
      <c r="P119" s="34"/>
    </row>
    <row r="120" spans="2:16" ht="27.75" customHeight="1">
      <c r="B120" s="25">
        <f t="shared" si="1"/>
        <v>116</v>
      </c>
      <c r="C120" s="42" t="s">
        <v>838</v>
      </c>
      <c r="D120" s="17" t="s">
        <v>838</v>
      </c>
      <c r="E120" s="26" t="e">
        <f>VLOOKUP(C120,#REF!,3,0)</f>
        <v>#REF!</v>
      </c>
      <c r="F120" s="205" t="s">
        <v>1482</v>
      </c>
      <c r="G120" s="25" t="s">
        <v>1483</v>
      </c>
      <c r="H120" s="25"/>
      <c r="I120" s="35">
        <v>4</v>
      </c>
      <c r="J120" s="36" t="s">
        <v>1256</v>
      </c>
      <c r="K120" s="37"/>
      <c r="L120" s="38"/>
      <c r="M120" s="39"/>
      <c r="N120" s="44">
        <v>800</v>
      </c>
      <c r="O120" s="25" t="s">
        <v>1360</v>
      </c>
      <c r="P120" s="34"/>
    </row>
    <row r="121" spans="2:16" ht="27.75" customHeight="1">
      <c r="B121" s="25">
        <f t="shared" si="1"/>
        <v>117</v>
      </c>
      <c r="C121" s="42" t="s">
        <v>839</v>
      </c>
      <c r="D121" s="17" t="s">
        <v>839</v>
      </c>
      <c r="E121" s="26" t="e">
        <f>VLOOKUP(C121,#REF!,3,0)</f>
        <v>#REF!</v>
      </c>
      <c r="F121" s="205" t="s">
        <v>1484</v>
      </c>
      <c r="G121" s="25" t="s">
        <v>1485</v>
      </c>
      <c r="H121" s="25" t="s">
        <v>1215</v>
      </c>
      <c r="I121" s="35">
        <v>4</v>
      </c>
      <c r="J121" s="36" t="s">
        <v>1256</v>
      </c>
      <c r="K121" s="37"/>
      <c r="L121" s="38"/>
      <c r="M121" s="39"/>
      <c r="N121" s="44">
        <v>800</v>
      </c>
      <c r="O121" s="25" t="s">
        <v>1360</v>
      </c>
      <c r="P121" s="34"/>
    </row>
    <row r="122" spans="2:16" ht="27.75" customHeight="1">
      <c r="B122" s="25">
        <f t="shared" si="1"/>
        <v>118</v>
      </c>
      <c r="C122" s="42" t="s">
        <v>833</v>
      </c>
      <c r="D122" s="17" t="s">
        <v>833</v>
      </c>
      <c r="E122" s="26" t="e">
        <f>VLOOKUP(C122,#REF!,3,0)</f>
        <v>#REF!</v>
      </c>
      <c r="F122" s="205" t="s">
        <v>1486</v>
      </c>
      <c r="G122" s="25" t="s">
        <v>1487</v>
      </c>
      <c r="H122" s="25"/>
      <c r="I122" s="35">
        <v>2</v>
      </c>
      <c r="J122" s="36" t="s">
        <v>1256</v>
      </c>
      <c r="K122" s="37"/>
      <c r="L122" s="38"/>
      <c r="M122" s="39"/>
      <c r="N122" s="44">
        <v>800</v>
      </c>
      <c r="O122" s="25" t="s">
        <v>1360</v>
      </c>
      <c r="P122" s="34"/>
    </row>
    <row r="123" spans="2:16" ht="27.75" customHeight="1">
      <c r="B123" s="25">
        <f t="shared" si="1"/>
        <v>119</v>
      </c>
      <c r="C123" s="42" t="s">
        <v>830</v>
      </c>
      <c r="D123" s="17" t="s">
        <v>830</v>
      </c>
      <c r="E123" s="26" t="e">
        <f>VLOOKUP(C123,#REF!,3,0)</f>
        <v>#REF!</v>
      </c>
      <c r="F123" s="205" t="s">
        <v>1488</v>
      </c>
      <c r="G123" s="25" t="s">
        <v>1489</v>
      </c>
      <c r="H123" s="25"/>
      <c r="I123" s="35">
        <v>4</v>
      </c>
      <c r="J123" s="36" t="s">
        <v>1256</v>
      </c>
      <c r="K123" s="37"/>
      <c r="L123" s="38"/>
      <c r="M123" s="39"/>
      <c r="N123" s="44">
        <v>800</v>
      </c>
      <c r="O123" s="25" t="s">
        <v>1360</v>
      </c>
      <c r="P123" s="34"/>
    </row>
    <row r="124" spans="2:16" ht="27.75" customHeight="1">
      <c r="B124" s="25">
        <f t="shared" si="1"/>
        <v>120</v>
      </c>
      <c r="C124" s="42" t="s">
        <v>857</v>
      </c>
      <c r="D124" s="17" t="s">
        <v>857</v>
      </c>
      <c r="E124" s="26" t="e">
        <f>VLOOKUP(C124,#REF!,3,0)</f>
        <v>#REF!</v>
      </c>
      <c r="F124" s="205" t="s">
        <v>1490</v>
      </c>
      <c r="G124" s="25" t="s">
        <v>1491</v>
      </c>
      <c r="H124" s="25" t="s">
        <v>1215</v>
      </c>
      <c r="I124" s="35">
        <v>4</v>
      </c>
      <c r="J124" s="36" t="s">
        <v>1256</v>
      </c>
      <c r="K124" s="37"/>
      <c r="L124" s="38"/>
      <c r="M124" s="39"/>
      <c r="N124" s="44">
        <v>800</v>
      </c>
      <c r="O124" s="25" t="s">
        <v>1360</v>
      </c>
      <c r="P124" s="34"/>
    </row>
    <row r="125" spans="2:16" ht="27.75" customHeight="1">
      <c r="B125" s="25">
        <f t="shared" si="1"/>
        <v>121</v>
      </c>
      <c r="C125" s="42" t="s">
        <v>858</v>
      </c>
      <c r="D125" s="17" t="s">
        <v>858</v>
      </c>
      <c r="E125" s="26" t="e">
        <f>VLOOKUP(C125,#REF!,3,0)</f>
        <v>#REF!</v>
      </c>
      <c r="F125" s="205" t="s">
        <v>1492</v>
      </c>
      <c r="G125" s="25" t="s">
        <v>1493</v>
      </c>
      <c r="H125" s="25" t="s">
        <v>1215</v>
      </c>
      <c r="I125" s="35">
        <v>4</v>
      </c>
      <c r="J125" s="36" t="s">
        <v>1256</v>
      </c>
      <c r="K125" s="37"/>
      <c r="L125" s="38"/>
      <c r="M125" s="39"/>
      <c r="N125" s="44">
        <v>800</v>
      </c>
      <c r="O125" s="25" t="s">
        <v>1360</v>
      </c>
      <c r="P125" s="34"/>
    </row>
    <row r="126" spans="2:16" ht="27.75" customHeight="1">
      <c r="B126" s="25">
        <f t="shared" si="1"/>
        <v>122</v>
      </c>
      <c r="C126" s="42" t="s">
        <v>337</v>
      </c>
      <c r="D126" s="17" t="s">
        <v>337</v>
      </c>
      <c r="E126" s="26" t="e">
        <f>VLOOKUP(C126,#REF!,3,0)</f>
        <v>#REF!</v>
      </c>
      <c r="F126" s="205" t="s">
        <v>1494</v>
      </c>
      <c r="G126" s="25" t="s">
        <v>1495</v>
      </c>
      <c r="H126" s="25"/>
      <c r="I126" s="35">
        <v>4</v>
      </c>
      <c r="J126" s="36" t="s">
        <v>1256</v>
      </c>
      <c r="K126" s="37"/>
      <c r="L126" s="38"/>
      <c r="M126" s="39"/>
      <c r="N126" s="44">
        <v>800</v>
      </c>
      <c r="O126" s="25" t="s">
        <v>1360</v>
      </c>
      <c r="P126" s="34"/>
    </row>
    <row r="127" spans="2:16" ht="27.75" customHeight="1">
      <c r="B127" s="25">
        <f t="shared" si="1"/>
        <v>123</v>
      </c>
      <c r="C127" s="42" t="s">
        <v>338</v>
      </c>
      <c r="D127" s="17" t="s">
        <v>338</v>
      </c>
      <c r="E127" s="26" t="e">
        <f>VLOOKUP(C127,#REF!,3,0)</f>
        <v>#REF!</v>
      </c>
      <c r="F127" s="205" t="s">
        <v>1496</v>
      </c>
      <c r="G127" s="25" t="s">
        <v>1497</v>
      </c>
      <c r="H127" s="25"/>
      <c r="I127" s="35">
        <v>4</v>
      </c>
      <c r="J127" s="36" t="s">
        <v>1256</v>
      </c>
      <c r="K127" s="37"/>
      <c r="L127" s="38"/>
      <c r="M127" s="39"/>
      <c r="N127" s="44">
        <v>800</v>
      </c>
      <c r="O127" s="25" t="s">
        <v>1360</v>
      </c>
      <c r="P127" s="34"/>
    </row>
    <row r="128" spans="2:16" ht="27.75" customHeight="1">
      <c r="B128" s="25">
        <f t="shared" si="1"/>
        <v>124</v>
      </c>
      <c r="C128" s="42" t="s">
        <v>339</v>
      </c>
      <c r="D128" s="17" t="s">
        <v>339</v>
      </c>
      <c r="E128" s="26" t="e">
        <f>VLOOKUP(C128,#REF!,3,0)</f>
        <v>#REF!</v>
      </c>
      <c r="F128" s="205" t="s">
        <v>1498</v>
      </c>
      <c r="G128" s="25" t="s">
        <v>1499</v>
      </c>
      <c r="H128" s="25"/>
      <c r="I128" s="35">
        <v>4</v>
      </c>
      <c r="J128" s="36" t="s">
        <v>1256</v>
      </c>
      <c r="K128" s="37"/>
      <c r="L128" s="38"/>
      <c r="M128" s="39"/>
      <c r="N128" s="44">
        <v>800</v>
      </c>
      <c r="O128" s="25" t="s">
        <v>1360</v>
      </c>
      <c r="P128" s="34"/>
    </row>
    <row r="129" spans="2:16" ht="27.75" customHeight="1">
      <c r="B129" s="25">
        <f t="shared" si="1"/>
        <v>125</v>
      </c>
      <c r="C129" s="42" t="s">
        <v>340</v>
      </c>
      <c r="D129" s="17" t="s">
        <v>340</v>
      </c>
      <c r="E129" s="26" t="e">
        <f>VLOOKUP(C129,#REF!,3,0)</f>
        <v>#REF!</v>
      </c>
      <c r="F129" s="205" t="s">
        <v>1500</v>
      </c>
      <c r="G129" s="25" t="s">
        <v>1501</v>
      </c>
      <c r="H129" s="25"/>
      <c r="I129" s="35">
        <v>4</v>
      </c>
      <c r="J129" s="36" t="s">
        <v>1256</v>
      </c>
      <c r="K129" s="37"/>
      <c r="L129" s="38"/>
      <c r="M129" s="39"/>
      <c r="N129" s="44">
        <v>800</v>
      </c>
      <c r="O129" s="25" t="s">
        <v>1360</v>
      </c>
      <c r="P129" s="34"/>
    </row>
    <row r="130" spans="2:16" ht="27.75" customHeight="1">
      <c r="B130" s="25">
        <f t="shared" si="1"/>
        <v>126</v>
      </c>
      <c r="C130" s="42" t="s">
        <v>1115</v>
      </c>
      <c r="D130" s="17" t="s">
        <v>1115</v>
      </c>
      <c r="E130" s="26" t="e">
        <f>VLOOKUP(C130,#REF!,3,0)</f>
        <v>#REF!</v>
      </c>
      <c r="F130" s="205" t="s">
        <v>1502</v>
      </c>
      <c r="G130" s="25" t="s">
        <v>1503</v>
      </c>
      <c r="H130" s="25"/>
      <c r="I130" s="35">
        <v>4</v>
      </c>
      <c r="J130" s="36" t="s">
        <v>1256</v>
      </c>
      <c r="K130" s="37"/>
      <c r="L130" s="38"/>
      <c r="M130" s="39"/>
      <c r="N130" s="44">
        <v>800</v>
      </c>
      <c r="O130" s="25" t="s">
        <v>1360</v>
      </c>
      <c r="P130" s="34"/>
    </row>
    <row r="131" spans="2:16" ht="27.75" customHeight="1">
      <c r="B131" s="25">
        <f t="shared" si="1"/>
        <v>127</v>
      </c>
      <c r="C131" s="42" t="s">
        <v>926</v>
      </c>
      <c r="D131" s="17" t="s">
        <v>926</v>
      </c>
      <c r="E131" s="26" t="e">
        <f>VLOOKUP(C131,#REF!,3,0)</f>
        <v>#REF!</v>
      </c>
      <c r="F131" s="205" t="s">
        <v>1504</v>
      </c>
      <c r="G131" s="25" t="s">
        <v>1505</v>
      </c>
      <c r="H131" s="25"/>
      <c r="I131" s="35">
        <v>4</v>
      </c>
      <c r="J131" s="36" t="s">
        <v>1256</v>
      </c>
      <c r="K131" s="37"/>
      <c r="L131" s="38"/>
      <c r="M131" s="39"/>
      <c r="N131" s="44">
        <v>800</v>
      </c>
      <c r="O131" s="25" t="s">
        <v>1360</v>
      </c>
      <c r="P131" s="34"/>
    </row>
    <row r="132" spans="2:16" ht="27.75" customHeight="1">
      <c r="B132" s="25">
        <f t="shared" si="1"/>
        <v>128</v>
      </c>
      <c r="C132" s="42" t="s">
        <v>1036</v>
      </c>
      <c r="D132" s="17" t="s">
        <v>1036</v>
      </c>
      <c r="E132" s="26" t="e">
        <f>VLOOKUP(C132,#REF!,3,0)</f>
        <v>#REF!</v>
      </c>
      <c r="F132" s="205" t="s">
        <v>1506</v>
      </c>
      <c r="G132" s="25" t="s">
        <v>1507</v>
      </c>
      <c r="H132" s="25"/>
      <c r="I132" s="35">
        <v>4</v>
      </c>
      <c r="J132" s="36" t="s">
        <v>1256</v>
      </c>
      <c r="K132" s="37"/>
      <c r="L132" s="38"/>
      <c r="M132" s="39"/>
      <c r="N132" s="44">
        <v>800</v>
      </c>
      <c r="O132" s="25" t="s">
        <v>1360</v>
      </c>
      <c r="P132" s="34"/>
    </row>
    <row r="133" spans="2:16" ht="27.75" customHeight="1">
      <c r="B133" s="25">
        <f t="shared" si="1"/>
        <v>129</v>
      </c>
      <c r="C133" s="42" t="s">
        <v>39</v>
      </c>
      <c r="D133" s="17" t="s">
        <v>39</v>
      </c>
      <c r="E133" s="26" t="e">
        <f>VLOOKUP(C133,#REF!,3,0)</f>
        <v>#REF!</v>
      </c>
      <c r="F133" s="205" t="s">
        <v>1508</v>
      </c>
      <c r="G133" s="25" t="s">
        <v>1509</v>
      </c>
      <c r="H133" s="25"/>
      <c r="I133" s="35">
        <v>4</v>
      </c>
      <c r="J133" s="36" t="s">
        <v>1256</v>
      </c>
      <c r="K133" s="37"/>
      <c r="L133" s="38"/>
      <c r="M133" s="39"/>
      <c r="N133" s="44">
        <v>800</v>
      </c>
      <c r="O133" s="25" t="s">
        <v>1360</v>
      </c>
      <c r="P133" s="34"/>
    </row>
    <row r="134" spans="2:16" ht="27.75" customHeight="1">
      <c r="B134" s="25">
        <f t="shared" si="1"/>
        <v>130</v>
      </c>
      <c r="C134" s="42" t="s">
        <v>861</v>
      </c>
      <c r="D134" s="17" t="s">
        <v>861</v>
      </c>
      <c r="E134" s="26" t="e">
        <f>VLOOKUP(C134,#REF!,3,0)</f>
        <v>#REF!</v>
      </c>
      <c r="F134" s="205" t="s">
        <v>1510</v>
      </c>
      <c r="G134" s="25" t="s">
        <v>1511</v>
      </c>
      <c r="H134" s="25"/>
      <c r="I134" s="35">
        <v>4</v>
      </c>
      <c r="J134" s="36" t="s">
        <v>1256</v>
      </c>
      <c r="K134" s="37"/>
      <c r="L134" s="38"/>
      <c r="M134" s="39"/>
      <c r="N134" s="44">
        <v>800</v>
      </c>
      <c r="O134" s="25" t="s">
        <v>1360</v>
      </c>
      <c r="P134" s="34"/>
    </row>
    <row r="135" spans="2:16" ht="27.75" customHeight="1">
      <c r="B135" s="25">
        <f t="shared" ref="B135:B198" si="2">B134+1</f>
        <v>131</v>
      </c>
      <c r="C135" s="42" t="s">
        <v>831</v>
      </c>
      <c r="D135" s="17" t="s">
        <v>831</v>
      </c>
      <c r="E135" s="26" t="e">
        <f>VLOOKUP(C135,#REF!,3,0)</f>
        <v>#REF!</v>
      </c>
      <c r="F135" s="205" t="s">
        <v>1512</v>
      </c>
      <c r="G135" s="25" t="s">
        <v>1513</v>
      </c>
      <c r="H135" s="25"/>
      <c r="I135" s="35">
        <v>4</v>
      </c>
      <c r="J135" s="36" t="s">
        <v>1256</v>
      </c>
      <c r="K135" s="37"/>
      <c r="L135" s="38"/>
      <c r="M135" s="39"/>
      <c r="N135" s="44">
        <v>800</v>
      </c>
      <c r="O135" s="25" t="s">
        <v>1360</v>
      </c>
      <c r="P135" s="34"/>
    </row>
    <row r="136" spans="2:16" ht="27.75" customHeight="1">
      <c r="B136" s="25">
        <f t="shared" si="2"/>
        <v>132</v>
      </c>
      <c r="C136" s="42" t="s">
        <v>560</v>
      </c>
      <c r="D136" s="17" t="s">
        <v>560</v>
      </c>
      <c r="E136" s="26" t="e">
        <f>VLOOKUP(C136,#REF!,3,0)</f>
        <v>#REF!</v>
      </c>
      <c r="F136" s="205" t="s">
        <v>1514</v>
      </c>
      <c r="G136" s="25" t="s">
        <v>1515</v>
      </c>
      <c r="H136" s="25"/>
      <c r="I136" s="35">
        <v>4</v>
      </c>
      <c r="J136" s="36" t="s">
        <v>1256</v>
      </c>
      <c r="K136" s="37"/>
      <c r="L136" s="38"/>
      <c r="M136" s="39"/>
      <c r="N136" s="44">
        <v>800</v>
      </c>
      <c r="O136" s="25" t="s">
        <v>1360</v>
      </c>
      <c r="P136" s="34"/>
    </row>
    <row r="137" spans="2:16" ht="27.75" customHeight="1">
      <c r="B137" s="25">
        <f t="shared" si="2"/>
        <v>133</v>
      </c>
      <c r="C137" s="42" t="s">
        <v>556</v>
      </c>
      <c r="D137" s="17" t="s">
        <v>556</v>
      </c>
      <c r="E137" s="26" t="e">
        <f>VLOOKUP(C137,#REF!,3,0)</f>
        <v>#REF!</v>
      </c>
      <c r="F137" s="205" t="s">
        <v>1516</v>
      </c>
      <c r="G137" s="25" t="s">
        <v>1517</v>
      </c>
      <c r="H137" s="25"/>
      <c r="I137" s="35">
        <v>4</v>
      </c>
      <c r="J137" s="36" t="s">
        <v>1256</v>
      </c>
      <c r="K137" s="37"/>
      <c r="L137" s="38"/>
      <c r="M137" s="39"/>
      <c r="N137" s="44">
        <v>800</v>
      </c>
      <c r="O137" s="25" t="s">
        <v>1360</v>
      </c>
      <c r="P137" s="34"/>
    </row>
    <row r="138" spans="2:16" ht="27.75" customHeight="1">
      <c r="B138" s="25">
        <f t="shared" si="2"/>
        <v>134</v>
      </c>
      <c r="C138" s="42" t="s">
        <v>304</v>
      </c>
      <c r="D138" s="17" t="s">
        <v>304</v>
      </c>
      <c r="E138" s="26" t="e">
        <f>VLOOKUP(C138,#REF!,3,0)</f>
        <v>#REF!</v>
      </c>
      <c r="F138" s="205" t="s">
        <v>1518</v>
      </c>
      <c r="G138" s="25" t="s">
        <v>1519</v>
      </c>
      <c r="H138" s="25"/>
      <c r="I138" s="35">
        <v>4</v>
      </c>
      <c r="J138" s="36" t="s">
        <v>1256</v>
      </c>
      <c r="K138" s="37"/>
      <c r="L138" s="38"/>
      <c r="M138" s="39"/>
      <c r="N138" s="44">
        <v>800</v>
      </c>
      <c r="O138" s="25" t="s">
        <v>1360</v>
      </c>
      <c r="P138" s="34"/>
    </row>
    <row r="139" spans="2:16" ht="27.75" customHeight="1">
      <c r="B139" s="25">
        <f t="shared" si="2"/>
        <v>135</v>
      </c>
      <c r="C139" s="42" t="s">
        <v>305</v>
      </c>
      <c r="D139" s="17" t="s">
        <v>305</v>
      </c>
      <c r="E139" s="26" t="e">
        <f>VLOOKUP(C139,#REF!,3,0)</f>
        <v>#REF!</v>
      </c>
      <c r="F139" s="205" t="s">
        <v>1520</v>
      </c>
      <c r="G139" s="25" t="s">
        <v>1521</v>
      </c>
      <c r="H139" s="25"/>
      <c r="I139" s="35">
        <v>4</v>
      </c>
      <c r="J139" s="36" t="s">
        <v>1256</v>
      </c>
      <c r="K139" s="37"/>
      <c r="L139" s="38"/>
      <c r="M139" s="39"/>
      <c r="N139" s="44">
        <v>800</v>
      </c>
      <c r="O139" s="25" t="s">
        <v>1360</v>
      </c>
      <c r="P139" s="34"/>
    </row>
    <row r="140" spans="2:16" ht="27.75" customHeight="1">
      <c r="B140" s="25">
        <f t="shared" si="2"/>
        <v>136</v>
      </c>
      <c r="C140" s="42" t="s">
        <v>860</v>
      </c>
      <c r="D140" s="17" t="s">
        <v>860</v>
      </c>
      <c r="E140" s="26" t="e">
        <f>VLOOKUP(C140,#REF!,3,0)</f>
        <v>#REF!</v>
      </c>
      <c r="F140" s="205" t="s">
        <v>1522</v>
      </c>
      <c r="G140" s="25" t="s">
        <v>1523</v>
      </c>
      <c r="H140" s="25"/>
      <c r="I140" s="35">
        <v>4</v>
      </c>
      <c r="J140" s="36" t="s">
        <v>1256</v>
      </c>
      <c r="K140" s="37"/>
      <c r="L140" s="38"/>
      <c r="M140" s="39"/>
      <c r="N140" s="44">
        <v>800</v>
      </c>
      <c r="O140" s="25" t="s">
        <v>1360</v>
      </c>
      <c r="P140" s="34"/>
    </row>
    <row r="141" spans="2:16" ht="27.75" customHeight="1">
      <c r="B141" s="25">
        <f t="shared" si="2"/>
        <v>137</v>
      </c>
      <c r="C141" s="42" t="s">
        <v>551</v>
      </c>
      <c r="D141" s="17" t="s">
        <v>551</v>
      </c>
      <c r="E141" s="26" t="e">
        <f>VLOOKUP(C141,#REF!,3,0)</f>
        <v>#REF!</v>
      </c>
      <c r="F141" s="205" t="s">
        <v>1524</v>
      </c>
      <c r="G141" s="25" t="s">
        <v>1525</v>
      </c>
      <c r="H141" s="25"/>
      <c r="I141" s="35">
        <v>4</v>
      </c>
      <c r="J141" s="36" t="s">
        <v>1256</v>
      </c>
      <c r="K141" s="37"/>
      <c r="L141" s="38"/>
      <c r="M141" s="39"/>
      <c r="N141" s="44">
        <v>800</v>
      </c>
      <c r="O141" s="25" t="s">
        <v>1360</v>
      </c>
      <c r="P141" s="34"/>
    </row>
    <row r="142" spans="2:16" ht="27.75" customHeight="1">
      <c r="B142" s="25">
        <f t="shared" si="2"/>
        <v>138</v>
      </c>
      <c r="C142" s="42" t="s">
        <v>902</v>
      </c>
      <c r="D142" s="17" t="s">
        <v>902</v>
      </c>
      <c r="E142" s="26" t="e">
        <f>VLOOKUP(C142,#REF!,3,0)</f>
        <v>#REF!</v>
      </c>
      <c r="F142" s="205" t="s">
        <v>1526</v>
      </c>
      <c r="G142" s="25" t="s">
        <v>1527</v>
      </c>
      <c r="H142" s="25"/>
      <c r="I142" s="35">
        <v>4</v>
      </c>
      <c r="J142" s="36" t="s">
        <v>1256</v>
      </c>
      <c r="K142" s="37"/>
      <c r="L142" s="38"/>
      <c r="M142" s="39"/>
      <c r="N142" s="44">
        <v>800</v>
      </c>
      <c r="O142" s="25" t="s">
        <v>1360</v>
      </c>
      <c r="P142" s="34"/>
    </row>
    <row r="143" spans="2:16" ht="27.75" customHeight="1">
      <c r="B143" s="25">
        <f t="shared" si="2"/>
        <v>139</v>
      </c>
      <c r="C143" s="42" t="s">
        <v>947</v>
      </c>
      <c r="D143" s="17" t="s">
        <v>947</v>
      </c>
      <c r="E143" s="26" t="e">
        <f>VLOOKUP(C143,#REF!,3,0)</f>
        <v>#REF!</v>
      </c>
      <c r="F143" s="205" t="s">
        <v>1528</v>
      </c>
      <c r="G143" s="25" t="s">
        <v>1529</v>
      </c>
      <c r="H143" s="25" t="s">
        <v>1215</v>
      </c>
      <c r="I143" s="35">
        <v>2</v>
      </c>
      <c r="J143" s="36" t="s">
        <v>1256</v>
      </c>
      <c r="K143" s="37"/>
      <c r="L143" s="38"/>
      <c r="M143" s="39"/>
      <c r="N143" s="44">
        <v>800</v>
      </c>
      <c r="O143" s="25" t="s">
        <v>1360</v>
      </c>
      <c r="P143" s="34"/>
    </row>
    <row r="144" spans="2:16" ht="27.75" customHeight="1">
      <c r="B144" s="25">
        <f t="shared" si="2"/>
        <v>140</v>
      </c>
      <c r="C144" s="42" t="s">
        <v>296</v>
      </c>
      <c r="D144" s="17" t="s">
        <v>296</v>
      </c>
      <c r="E144" s="26" t="e">
        <f>VLOOKUP(C144,#REF!,3,0)</f>
        <v>#REF!</v>
      </c>
      <c r="F144" s="205" t="s">
        <v>1530</v>
      </c>
      <c r="G144" s="25" t="s">
        <v>1531</v>
      </c>
      <c r="H144" s="25"/>
      <c r="I144" s="35">
        <v>2</v>
      </c>
      <c r="J144" s="36" t="s">
        <v>1256</v>
      </c>
      <c r="K144" s="37"/>
      <c r="L144" s="38"/>
      <c r="M144" s="39"/>
      <c r="N144" s="44">
        <v>800</v>
      </c>
      <c r="O144" s="25" t="s">
        <v>1360</v>
      </c>
      <c r="P144" s="34"/>
    </row>
    <row r="145" spans="2:16" ht="27.75" customHeight="1">
      <c r="B145" s="25">
        <f t="shared" si="2"/>
        <v>141</v>
      </c>
      <c r="C145" s="42" t="s">
        <v>559</v>
      </c>
      <c r="D145" s="17" t="s">
        <v>559</v>
      </c>
      <c r="E145" s="26" t="e">
        <f>VLOOKUP(C145,#REF!,3,0)</f>
        <v>#REF!</v>
      </c>
      <c r="F145" s="205" t="s">
        <v>1532</v>
      </c>
      <c r="G145" s="25" t="s">
        <v>1533</v>
      </c>
      <c r="H145" s="25"/>
      <c r="I145" s="35">
        <v>4</v>
      </c>
      <c r="J145" s="36" t="s">
        <v>1256</v>
      </c>
      <c r="K145" s="37"/>
      <c r="L145" s="38"/>
      <c r="M145" s="39"/>
      <c r="N145" s="44">
        <v>800</v>
      </c>
      <c r="O145" s="25" t="s">
        <v>1360</v>
      </c>
      <c r="P145" s="34"/>
    </row>
    <row r="146" spans="2:16" ht="27.75" customHeight="1">
      <c r="B146" s="25">
        <f t="shared" si="2"/>
        <v>142</v>
      </c>
      <c r="C146" s="42" t="s">
        <v>552</v>
      </c>
      <c r="D146" s="17" t="s">
        <v>552</v>
      </c>
      <c r="E146" s="26" t="e">
        <f>VLOOKUP(C146,#REF!,3,0)</f>
        <v>#REF!</v>
      </c>
      <c r="F146" s="205" t="s">
        <v>1534</v>
      </c>
      <c r="G146" s="25" t="s">
        <v>1535</v>
      </c>
      <c r="H146" s="25"/>
      <c r="I146" s="35">
        <v>4</v>
      </c>
      <c r="J146" s="36" t="s">
        <v>1256</v>
      </c>
      <c r="K146" s="37"/>
      <c r="L146" s="38"/>
      <c r="M146" s="39"/>
      <c r="N146" s="44">
        <v>800</v>
      </c>
      <c r="O146" s="25" t="s">
        <v>1360</v>
      </c>
      <c r="P146" s="34"/>
    </row>
    <row r="147" spans="2:16" ht="27.75" customHeight="1">
      <c r="B147" s="25">
        <f t="shared" si="2"/>
        <v>143</v>
      </c>
      <c r="C147" s="42" t="s">
        <v>334</v>
      </c>
      <c r="D147" s="17" t="s">
        <v>334</v>
      </c>
      <c r="E147" s="26" t="e">
        <f>VLOOKUP(C147,#REF!,3,0)</f>
        <v>#REF!</v>
      </c>
      <c r="F147" s="205" t="s">
        <v>1536</v>
      </c>
      <c r="G147" s="25" t="s">
        <v>1537</v>
      </c>
      <c r="H147" s="25" t="s">
        <v>1215</v>
      </c>
      <c r="I147" s="35">
        <v>4</v>
      </c>
      <c r="J147" s="36" t="s">
        <v>1256</v>
      </c>
      <c r="K147" s="37"/>
      <c r="L147" s="38"/>
      <c r="M147" s="39"/>
      <c r="N147" s="44">
        <v>800</v>
      </c>
      <c r="O147" s="25" t="s">
        <v>1360</v>
      </c>
      <c r="P147" s="34"/>
    </row>
    <row r="148" spans="2:16" ht="27.75" customHeight="1">
      <c r="B148" s="25">
        <f t="shared" si="2"/>
        <v>144</v>
      </c>
      <c r="C148" s="42" t="s">
        <v>780</v>
      </c>
      <c r="D148" s="17" t="s">
        <v>780</v>
      </c>
      <c r="E148" s="26" t="e">
        <f>VLOOKUP(C148,#REF!,3,0)</f>
        <v>#REF!</v>
      </c>
      <c r="F148" s="205" t="s">
        <v>1538</v>
      </c>
      <c r="G148" s="25" t="s">
        <v>1539</v>
      </c>
      <c r="H148" s="25"/>
      <c r="I148" s="35">
        <v>1</v>
      </c>
      <c r="J148" s="36" t="s">
        <v>1256</v>
      </c>
      <c r="K148" s="37"/>
      <c r="L148" s="38"/>
      <c r="M148" s="39"/>
      <c r="N148" s="44">
        <v>800</v>
      </c>
      <c r="O148" s="25" t="s">
        <v>1360</v>
      </c>
      <c r="P148" s="34"/>
    </row>
    <row r="149" spans="2:16" ht="27.75" customHeight="1">
      <c r="B149" s="25">
        <f t="shared" si="2"/>
        <v>145</v>
      </c>
      <c r="C149" s="42" t="s">
        <v>290</v>
      </c>
      <c r="D149" s="17" t="s">
        <v>290</v>
      </c>
      <c r="E149" s="26" t="e">
        <f>VLOOKUP(C149,#REF!,3,0)</f>
        <v>#REF!</v>
      </c>
      <c r="F149" s="205" t="s">
        <v>1540</v>
      </c>
      <c r="G149" s="25" t="s">
        <v>1541</v>
      </c>
      <c r="H149" s="25"/>
      <c r="I149" s="35">
        <v>2</v>
      </c>
      <c r="J149" s="36" t="s">
        <v>1256</v>
      </c>
      <c r="K149" s="37"/>
      <c r="L149" s="38"/>
      <c r="M149" s="39"/>
      <c r="N149" s="44">
        <v>800</v>
      </c>
      <c r="O149" s="25" t="s">
        <v>1542</v>
      </c>
      <c r="P149" s="34" t="s">
        <v>1543</v>
      </c>
    </row>
    <row r="150" spans="2:16" ht="27.75" customHeight="1">
      <c r="B150" s="25">
        <f t="shared" si="2"/>
        <v>146</v>
      </c>
      <c r="C150" s="42" t="s">
        <v>840</v>
      </c>
      <c r="D150" s="17" t="s">
        <v>840</v>
      </c>
      <c r="E150" s="26" t="e">
        <f>VLOOKUP(C150,#REF!,3,0)</f>
        <v>#REF!</v>
      </c>
      <c r="F150" s="205" t="s">
        <v>1544</v>
      </c>
      <c r="G150" s="25" t="s">
        <v>1545</v>
      </c>
      <c r="H150" s="25"/>
      <c r="I150" s="35">
        <v>4</v>
      </c>
      <c r="J150" s="36" t="s">
        <v>1256</v>
      </c>
      <c r="K150" s="37"/>
      <c r="L150" s="38"/>
      <c r="M150" s="39"/>
      <c r="N150" s="44">
        <v>800</v>
      </c>
      <c r="O150" s="25" t="s">
        <v>1360</v>
      </c>
      <c r="P150" s="34"/>
    </row>
    <row r="151" spans="2:16" ht="27.75" customHeight="1">
      <c r="B151" s="25">
        <f t="shared" si="2"/>
        <v>147</v>
      </c>
      <c r="C151" s="42" t="s">
        <v>1033</v>
      </c>
      <c r="D151" s="17" t="s">
        <v>1033</v>
      </c>
      <c r="E151" s="26" t="e">
        <f>VLOOKUP(C151,#REF!,3,0)</f>
        <v>#REF!</v>
      </c>
      <c r="F151" s="205" t="s">
        <v>1395</v>
      </c>
      <c r="G151" s="25" t="s">
        <v>1396</v>
      </c>
      <c r="H151" s="25" t="s">
        <v>1215</v>
      </c>
      <c r="I151" s="35">
        <v>4</v>
      </c>
      <c r="J151" s="36" t="s">
        <v>1256</v>
      </c>
      <c r="K151" s="37"/>
      <c r="L151" s="38"/>
      <c r="M151" s="39"/>
      <c r="N151" s="44">
        <v>800</v>
      </c>
      <c r="O151" s="25" t="s">
        <v>1542</v>
      </c>
      <c r="P151" s="34" t="s">
        <v>1546</v>
      </c>
    </row>
    <row r="152" spans="2:16" ht="27.75" customHeight="1">
      <c r="B152" s="25">
        <f t="shared" si="2"/>
        <v>148</v>
      </c>
      <c r="C152" s="42" t="s">
        <v>1034</v>
      </c>
      <c r="D152" s="17" t="s">
        <v>1034</v>
      </c>
      <c r="E152" s="26" t="e">
        <f>VLOOKUP(C152,#REF!,3,0)</f>
        <v>#REF!</v>
      </c>
      <c r="F152" s="205" t="s">
        <v>1395</v>
      </c>
      <c r="G152" s="25" t="s">
        <v>1396</v>
      </c>
      <c r="H152" s="25" t="s">
        <v>1215</v>
      </c>
      <c r="I152" s="35">
        <v>4</v>
      </c>
      <c r="J152" s="36" t="s">
        <v>1256</v>
      </c>
      <c r="K152" s="37"/>
      <c r="L152" s="38"/>
      <c r="M152" s="39"/>
      <c r="N152" s="44">
        <v>800</v>
      </c>
      <c r="O152" s="25" t="s">
        <v>1542</v>
      </c>
      <c r="P152" s="34" t="s">
        <v>1547</v>
      </c>
    </row>
    <row r="153" spans="2:16" ht="27.75" customHeight="1">
      <c r="B153" s="25">
        <f t="shared" si="2"/>
        <v>149</v>
      </c>
      <c r="C153" s="42" t="s">
        <v>1035</v>
      </c>
      <c r="D153" s="17" t="s">
        <v>1035</v>
      </c>
      <c r="E153" s="26" t="e">
        <f>VLOOKUP(C153,#REF!,3,0)</f>
        <v>#REF!</v>
      </c>
      <c r="F153" s="205" t="s">
        <v>1395</v>
      </c>
      <c r="G153" s="25" t="s">
        <v>1396</v>
      </c>
      <c r="H153" s="25" t="s">
        <v>1215</v>
      </c>
      <c r="I153" s="35">
        <v>4</v>
      </c>
      <c r="J153" s="36" t="s">
        <v>1256</v>
      </c>
      <c r="K153" s="37"/>
      <c r="L153" s="38"/>
      <c r="M153" s="39"/>
      <c r="N153" s="44">
        <v>800</v>
      </c>
      <c r="O153" s="25" t="s">
        <v>1542</v>
      </c>
      <c r="P153" s="34" t="s">
        <v>1547</v>
      </c>
    </row>
    <row r="154" spans="2:16" ht="27.75" customHeight="1">
      <c r="B154" s="25">
        <f t="shared" si="2"/>
        <v>150</v>
      </c>
      <c r="C154" s="42" t="s">
        <v>218</v>
      </c>
      <c r="D154" s="17" t="s">
        <v>218</v>
      </c>
      <c r="E154" s="26" t="e">
        <f>VLOOKUP(C154,#REF!,3,0)</f>
        <v>#REF!</v>
      </c>
      <c r="F154" s="205" t="s">
        <v>1375</v>
      </c>
      <c r="G154" s="25" t="s">
        <v>1376</v>
      </c>
      <c r="H154" s="25"/>
      <c r="I154" s="35">
        <v>4</v>
      </c>
      <c r="J154" s="36" t="s">
        <v>1256</v>
      </c>
      <c r="K154" s="37"/>
      <c r="L154" s="38"/>
      <c r="M154" s="39"/>
      <c r="N154" s="44">
        <v>800</v>
      </c>
      <c r="O154" s="25" t="s">
        <v>1542</v>
      </c>
      <c r="P154" s="34" t="s">
        <v>1548</v>
      </c>
    </row>
    <row r="155" spans="2:16" ht="27.75" customHeight="1">
      <c r="B155" s="25">
        <f t="shared" si="2"/>
        <v>151</v>
      </c>
      <c r="C155" s="42" t="s">
        <v>1059</v>
      </c>
      <c r="D155" s="17" t="s">
        <v>1059</v>
      </c>
      <c r="E155" s="26" t="e">
        <f>VLOOKUP(C155,#REF!,3,0)</f>
        <v>#REF!</v>
      </c>
      <c r="F155" s="205" t="s">
        <v>1549</v>
      </c>
      <c r="G155" s="25" t="s">
        <v>1550</v>
      </c>
      <c r="H155" s="25"/>
      <c r="I155" s="35">
        <v>8</v>
      </c>
      <c r="J155" s="36" t="s">
        <v>1256</v>
      </c>
      <c r="K155" s="37"/>
      <c r="L155" s="38"/>
      <c r="M155" s="39"/>
      <c r="N155" s="44">
        <v>800</v>
      </c>
      <c r="O155" s="25" t="s">
        <v>1290</v>
      </c>
      <c r="P155" s="34" t="s">
        <v>1551</v>
      </c>
    </row>
    <row r="156" spans="2:16" ht="27.75" customHeight="1">
      <c r="B156" s="25">
        <f t="shared" si="2"/>
        <v>152</v>
      </c>
      <c r="C156" s="42" t="s">
        <v>291</v>
      </c>
      <c r="D156" s="17" t="s">
        <v>291</v>
      </c>
      <c r="E156" s="26" t="e">
        <f>VLOOKUP(C156,#REF!,3,0)</f>
        <v>#REF!</v>
      </c>
      <c r="F156" s="205" t="s">
        <v>1552</v>
      </c>
      <c r="G156" s="47" t="s">
        <v>1553</v>
      </c>
      <c r="H156" s="47"/>
      <c r="I156" s="48">
        <v>2</v>
      </c>
      <c r="J156" s="36" t="s">
        <v>1256</v>
      </c>
      <c r="K156" s="49"/>
      <c r="L156" s="50"/>
      <c r="M156" s="51"/>
      <c r="N156" s="44">
        <v>800</v>
      </c>
      <c r="O156" s="25" t="s">
        <v>1542</v>
      </c>
      <c r="P156" s="52" t="s">
        <v>1554</v>
      </c>
    </row>
    <row r="157" spans="2:16" ht="27.75" customHeight="1">
      <c r="B157" s="25">
        <f t="shared" si="2"/>
        <v>153</v>
      </c>
      <c r="C157" s="42" t="s">
        <v>185</v>
      </c>
      <c r="D157" s="17" t="s">
        <v>185</v>
      </c>
      <c r="E157" s="26" t="e">
        <f>VLOOKUP(C157,#REF!,3,0)</f>
        <v>#REF!</v>
      </c>
      <c r="F157" s="205" t="s">
        <v>1555</v>
      </c>
      <c r="G157" s="47" t="s">
        <v>1556</v>
      </c>
      <c r="H157" s="47" t="s">
        <v>1215</v>
      </c>
      <c r="I157" s="53">
        <v>1</v>
      </c>
      <c r="J157" s="36" t="s">
        <v>1256</v>
      </c>
      <c r="K157" s="49"/>
      <c r="L157" s="50"/>
      <c r="M157" s="51"/>
      <c r="N157" s="44">
        <v>800</v>
      </c>
      <c r="O157" s="25" t="s">
        <v>1360</v>
      </c>
      <c r="P157" s="52" t="s">
        <v>1557</v>
      </c>
    </row>
    <row r="158" spans="2:16" ht="27.75" customHeight="1">
      <c r="B158" s="25"/>
      <c r="C158" s="42" t="s">
        <v>186</v>
      </c>
      <c r="D158" s="17" t="s">
        <v>185</v>
      </c>
      <c r="E158" s="26" t="e">
        <f>VLOOKUP(C158,#REF!,3,0)</f>
        <v>#REF!</v>
      </c>
      <c r="F158" s="57" t="s">
        <v>1558</v>
      </c>
      <c r="G158" s="54" t="s">
        <v>1559</v>
      </c>
      <c r="H158" s="47" t="s">
        <v>1215</v>
      </c>
      <c r="I158" s="53">
        <v>1</v>
      </c>
      <c r="J158" s="36" t="s">
        <v>1256</v>
      </c>
      <c r="K158" s="49"/>
      <c r="L158" s="50"/>
      <c r="M158" s="51"/>
      <c r="N158" s="44">
        <v>800</v>
      </c>
      <c r="O158" s="25" t="s">
        <v>1542</v>
      </c>
      <c r="P158" s="52" t="s">
        <v>1557</v>
      </c>
    </row>
    <row r="159" spans="2:16" ht="27.75" customHeight="1">
      <c r="B159" s="25">
        <v>157</v>
      </c>
      <c r="C159" s="42" t="s">
        <v>716</v>
      </c>
      <c r="D159" s="17" t="s">
        <v>716</v>
      </c>
      <c r="E159" s="26" t="e">
        <f>VLOOKUP(C159,#REF!,3,0)</f>
        <v>#REF!</v>
      </c>
      <c r="F159" s="205" t="s">
        <v>1560</v>
      </c>
      <c r="G159" s="47" t="s">
        <v>1561</v>
      </c>
      <c r="H159" s="47"/>
      <c r="I159" s="53">
        <v>1</v>
      </c>
      <c r="J159" s="36" t="s">
        <v>1256</v>
      </c>
      <c r="K159" s="49"/>
      <c r="L159" s="50"/>
      <c r="M159" s="51"/>
      <c r="N159" s="44">
        <v>800</v>
      </c>
      <c r="O159" s="25" t="s">
        <v>1360</v>
      </c>
      <c r="P159" s="52" t="s">
        <v>1562</v>
      </c>
    </row>
    <row r="160" spans="2:16" ht="27.75" customHeight="1">
      <c r="B160" s="25">
        <f t="shared" si="2"/>
        <v>158</v>
      </c>
      <c r="C160" s="42" t="s">
        <v>1050</v>
      </c>
      <c r="D160" s="17" t="s">
        <v>1050</v>
      </c>
      <c r="E160" s="26" t="e">
        <f>VLOOKUP(C160,#REF!,3,0)</f>
        <v>#REF!</v>
      </c>
      <c r="F160" s="205" t="s">
        <v>1563</v>
      </c>
      <c r="G160" s="47" t="s">
        <v>1564</v>
      </c>
      <c r="H160" s="47"/>
      <c r="I160" s="53">
        <v>4</v>
      </c>
      <c r="J160" s="36" t="s">
        <v>1256</v>
      </c>
      <c r="K160" s="49"/>
      <c r="L160" s="50"/>
      <c r="M160" s="51"/>
      <c r="N160" s="44">
        <v>800</v>
      </c>
      <c r="O160" s="25" t="s">
        <v>1360</v>
      </c>
      <c r="P160" s="52" t="s">
        <v>1565</v>
      </c>
    </row>
    <row r="161" spans="2:16" ht="27.75" customHeight="1">
      <c r="B161" s="25">
        <f t="shared" si="2"/>
        <v>159</v>
      </c>
      <c r="C161" s="42" t="s">
        <v>401</v>
      </c>
      <c r="D161" s="17" t="s">
        <v>401</v>
      </c>
      <c r="E161" s="26" t="e">
        <f>VLOOKUP(C161,#REF!,3,0)</f>
        <v>#REF!</v>
      </c>
      <c r="F161" s="205" t="s">
        <v>1566</v>
      </c>
      <c r="G161" s="47" t="s">
        <v>1567</v>
      </c>
      <c r="H161" s="47"/>
      <c r="I161" s="53">
        <v>8</v>
      </c>
      <c r="J161" s="55"/>
      <c r="K161" s="49" t="s">
        <v>1568</v>
      </c>
      <c r="L161" s="50"/>
      <c r="M161" s="51"/>
      <c r="N161" s="44">
        <v>800</v>
      </c>
      <c r="O161" s="25" t="s">
        <v>1360</v>
      </c>
      <c r="P161" s="52" t="s">
        <v>1569</v>
      </c>
    </row>
    <row r="162" spans="2:16" ht="27.75" customHeight="1">
      <c r="B162" s="25">
        <f t="shared" si="2"/>
        <v>160</v>
      </c>
      <c r="C162" s="42" t="s">
        <v>460</v>
      </c>
      <c r="D162" s="17" t="s">
        <v>460</v>
      </c>
      <c r="E162" s="26" t="e">
        <f>VLOOKUP(C162,#REF!,3,0)</f>
        <v>#REF!</v>
      </c>
      <c r="F162" s="205" t="s">
        <v>1570</v>
      </c>
      <c r="G162" s="47" t="s">
        <v>1571</v>
      </c>
      <c r="H162" s="47"/>
      <c r="I162" s="53">
        <v>4</v>
      </c>
      <c r="J162" s="36" t="s">
        <v>1256</v>
      </c>
      <c r="K162" s="49"/>
      <c r="L162" s="50"/>
      <c r="M162" s="51"/>
      <c r="N162" s="44">
        <v>800</v>
      </c>
      <c r="O162" s="25" t="s">
        <v>1360</v>
      </c>
      <c r="P162" s="52" t="s">
        <v>1572</v>
      </c>
    </row>
    <row r="163" spans="2:16" ht="27.75" customHeight="1">
      <c r="B163" s="25">
        <f t="shared" si="2"/>
        <v>161</v>
      </c>
      <c r="C163" s="42" t="s">
        <v>1022</v>
      </c>
      <c r="D163" s="17" t="s">
        <v>1022</v>
      </c>
      <c r="E163" s="26" t="e">
        <f>VLOOKUP(C163,#REF!,3,0)</f>
        <v>#REF!</v>
      </c>
      <c r="F163" s="205" t="s">
        <v>1573</v>
      </c>
      <c r="G163" s="47" t="s">
        <v>1574</v>
      </c>
      <c r="H163" s="47"/>
      <c r="I163" s="53">
        <v>4</v>
      </c>
      <c r="J163" s="36" t="s">
        <v>1256</v>
      </c>
      <c r="K163" s="49"/>
      <c r="L163" s="50"/>
      <c r="M163" s="51"/>
      <c r="N163" s="44">
        <v>800</v>
      </c>
      <c r="O163" s="25" t="s">
        <v>1360</v>
      </c>
      <c r="P163" s="52" t="s">
        <v>1575</v>
      </c>
    </row>
    <row r="164" spans="2:16" ht="27.75" customHeight="1">
      <c r="B164" s="25">
        <f t="shared" si="2"/>
        <v>162</v>
      </c>
      <c r="C164" s="42" t="s">
        <v>1023</v>
      </c>
      <c r="D164" s="17" t="s">
        <v>1023</v>
      </c>
      <c r="E164" s="26" t="e">
        <f>VLOOKUP(C164,#REF!,3,0)</f>
        <v>#REF!</v>
      </c>
      <c r="F164" s="205" t="s">
        <v>1576</v>
      </c>
      <c r="G164" s="47" t="s">
        <v>1577</v>
      </c>
      <c r="H164" s="47"/>
      <c r="I164" s="53">
        <v>4</v>
      </c>
      <c r="J164" s="36" t="s">
        <v>1256</v>
      </c>
      <c r="K164" s="49"/>
      <c r="L164" s="50"/>
      <c r="M164" s="51"/>
      <c r="N164" s="44">
        <v>800</v>
      </c>
      <c r="O164" s="25" t="s">
        <v>1360</v>
      </c>
      <c r="P164" s="52" t="s">
        <v>1578</v>
      </c>
    </row>
    <row r="165" spans="2:16" ht="27.75" customHeight="1">
      <c r="B165" s="25">
        <f t="shared" si="2"/>
        <v>163</v>
      </c>
      <c r="C165" s="42" t="s">
        <v>219</v>
      </c>
      <c r="D165" s="17" t="s">
        <v>219</v>
      </c>
      <c r="E165" s="26" t="e">
        <f>VLOOKUP(C165,#REF!,3,0)</f>
        <v>#REF!</v>
      </c>
      <c r="F165" s="205" t="s">
        <v>1375</v>
      </c>
      <c r="G165" s="47" t="s">
        <v>1579</v>
      </c>
      <c r="H165" s="47"/>
      <c r="I165" s="53">
        <v>4</v>
      </c>
      <c r="J165" s="36" t="s">
        <v>1256</v>
      </c>
      <c r="K165" s="49"/>
      <c r="L165" s="50"/>
      <c r="M165" s="51"/>
      <c r="N165" s="44">
        <v>800</v>
      </c>
      <c r="O165" s="25" t="s">
        <v>1360</v>
      </c>
      <c r="P165" s="52"/>
    </row>
    <row r="166" spans="2:16" ht="27.75" customHeight="1">
      <c r="B166" s="25">
        <f t="shared" si="2"/>
        <v>164</v>
      </c>
      <c r="C166" s="42" t="s">
        <v>220</v>
      </c>
      <c r="D166" s="17" t="s">
        <v>220</v>
      </c>
      <c r="E166" s="26" t="e">
        <f>VLOOKUP(C166,#REF!,3,0)</f>
        <v>#REF!</v>
      </c>
      <c r="F166" s="205" t="s">
        <v>1375</v>
      </c>
      <c r="G166" s="47" t="s">
        <v>1579</v>
      </c>
      <c r="H166" s="47"/>
      <c r="I166" s="53">
        <v>4</v>
      </c>
      <c r="J166" s="55"/>
      <c r="K166" s="49"/>
      <c r="L166" s="50"/>
      <c r="M166" s="51"/>
      <c r="N166" s="44">
        <v>800</v>
      </c>
      <c r="O166" s="25" t="s">
        <v>1360</v>
      </c>
      <c r="P166" s="52"/>
    </row>
    <row r="167" spans="2:16" ht="27.75" customHeight="1">
      <c r="B167" s="25">
        <f t="shared" si="2"/>
        <v>165</v>
      </c>
      <c r="C167" s="42" t="s">
        <v>143</v>
      </c>
      <c r="D167" s="17" t="s">
        <v>143</v>
      </c>
      <c r="E167" s="26" t="e">
        <f>VLOOKUP(C167,#REF!,3,0)</f>
        <v>#REF!</v>
      </c>
      <c r="F167" s="205" t="s">
        <v>1580</v>
      </c>
      <c r="G167" s="25" t="s">
        <v>1581</v>
      </c>
      <c r="H167" s="25"/>
      <c r="I167" s="35">
        <v>4</v>
      </c>
      <c r="J167" s="36"/>
      <c r="K167" s="37"/>
      <c r="L167" s="38" t="s">
        <v>1582</v>
      </c>
      <c r="M167" s="39"/>
      <c r="N167" s="44">
        <v>800</v>
      </c>
      <c r="O167" s="25" t="s">
        <v>1583</v>
      </c>
      <c r="P167" s="52"/>
    </row>
    <row r="168" spans="2:16" ht="27.75" customHeight="1">
      <c r="B168" s="25">
        <f t="shared" si="2"/>
        <v>166</v>
      </c>
      <c r="C168" s="42" t="s">
        <v>144</v>
      </c>
      <c r="D168" s="17" t="s">
        <v>144</v>
      </c>
      <c r="E168" s="26" t="e">
        <f>VLOOKUP(C168,#REF!,3,0)</f>
        <v>#REF!</v>
      </c>
      <c r="F168" s="57" t="s">
        <v>1584</v>
      </c>
      <c r="G168" s="57" t="s">
        <v>1585</v>
      </c>
      <c r="H168" s="57"/>
      <c r="I168" s="58">
        <v>4</v>
      </c>
      <c r="J168" s="36"/>
      <c r="K168" s="37"/>
      <c r="L168" s="38" t="s">
        <v>1582</v>
      </c>
      <c r="M168" s="39"/>
      <c r="N168" s="44">
        <v>800</v>
      </c>
      <c r="O168" s="25" t="s">
        <v>1583</v>
      </c>
      <c r="P168" s="52"/>
    </row>
    <row r="169" spans="2:16" ht="27.75" customHeight="1">
      <c r="B169" s="25">
        <f t="shared" si="2"/>
        <v>167</v>
      </c>
      <c r="C169" s="42" t="s">
        <v>142</v>
      </c>
      <c r="D169" s="17" t="s">
        <v>142</v>
      </c>
      <c r="E169" s="26" t="e">
        <f>VLOOKUP(C169,#REF!,3,0)</f>
        <v>#REF!</v>
      </c>
      <c r="F169" s="57" t="s">
        <v>1586</v>
      </c>
      <c r="G169" s="57" t="s">
        <v>1587</v>
      </c>
      <c r="H169" s="57"/>
      <c r="I169" s="58">
        <v>4</v>
      </c>
      <c r="J169" s="36"/>
      <c r="K169" s="37"/>
      <c r="L169" s="38" t="s">
        <v>1582</v>
      </c>
      <c r="M169" s="39"/>
      <c r="N169" s="44">
        <v>800</v>
      </c>
      <c r="O169" s="25" t="s">
        <v>1588</v>
      </c>
      <c r="P169" s="52"/>
    </row>
    <row r="170" spans="2:16" ht="27.75" customHeight="1">
      <c r="B170" s="25">
        <f t="shared" si="2"/>
        <v>168</v>
      </c>
      <c r="C170" s="42" t="s">
        <v>34</v>
      </c>
      <c r="D170" s="17" t="s">
        <v>34</v>
      </c>
      <c r="E170" s="26" t="e">
        <f>VLOOKUP(C170,#REF!,3,0)</f>
        <v>#REF!</v>
      </c>
      <c r="F170" s="57" t="s">
        <v>1589</v>
      </c>
      <c r="G170" s="57" t="s">
        <v>1590</v>
      </c>
      <c r="H170" s="57"/>
      <c r="I170" s="58">
        <v>4</v>
      </c>
      <c r="J170" s="36"/>
      <c r="K170" s="37"/>
      <c r="L170" s="38" t="s">
        <v>1582</v>
      </c>
      <c r="M170" s="39"/>
      <c r="N170" s="44">
        <v>800</v>
      </c>
      <c r="O170" s="25" t="s">
        <v>1588</v>
      </c>
      <c r="P170" s="52"/>
    </row>
    <row r="171" spans="2:16" ht="27.75" customHeight="1">
      <c r="B171" s="25">
        <f t="shared" si="2"/>
        <v>169</v>
      </c>
      <c r="C171" s="42" t="s">
        <v>458</v>
      </c>
      <c r="D171" s="17" t="s">
        <v>458</v>
      </c>
      <c r="E171" s="26" t="e">
        <f>VLOOKUP(C171,#REF!,3,0)</f>
        <v>#REF!</v>
      </c>
      <c r="F171" s="57" t="s">
        <v>1591</v>
      </c>
      <c r="G171" s="57" t="s">
        <v>1592</v>
      </c>
      <c r="H171" s="57"/>
      <c r="I171" s="58">
        <v>4</v>
      </c>
      <c r="J171" s="36" t="s">
        <v>1256</v>
      </c>
      <c r="K171" s="37"/>
      <c r="L171" s="38"/>
      <c r="M171" s="39"/>
      <c r="N171" s="44">
        <v>800</v>
      </c>
      <c r="O171" s="25" t="s">
        <v>1360</v>
      </c>
      <c r="P171" s="52"/>
    </row>
    <row r="172" spans="2:16" ht="27.75" customHeight="1">
      <c r="B172" s="25">
        <f t="shared" si="2"/>
        <v>170</v>
      </c>
      <c r="C172" s="42" t="s">
        <v>550</v>
      </c>
      <c r="D172" s="17" t="s">
        <v>550</v>
      </c>
      <c r="E172" s="26" t="e">
        <f>VLOOKUP(C172,#REF!,3,0)</f>
        <v>#REF!</v>
      </c>
      <c r="F172" s="57" t="s">
        <v>1593</v>
      </c>
      <c r="G172" s="57" t="s">
        <v>1594</v>
      </c>
      <c r="H172" s="57"/>
      <c r="I172" s="58">
        <v>4</v>
      </c>
      <c r="J172" s="36" t="s">
        <v>1256</v>
      </c>
      <c r="K172" s="37"/>
      <c r="L172" s="38"/>
      <c r="M172" s="39"/>
      <c r="N172" s="44">
        <v>800</v>
      </c>
      <c r="O172" s="25" t="s">
        <v>1360</v>
      </c>
      <c r="P172" s="52"/>
    </row>
    <row r="173" spans="2:16" ht="27.75" customHeight="1">
      <c r="B173" s="25">
        <f t="shared" si="2"/>
        <v>171</v>
      </c>
      <c r="C173" s="42" t="s">
        <v>558</v>
      </c>
      <c r="D173" s="17" t="s">
        <v>558</v>
      </c>
      <c r="E173" s="26" t="e">
        <f>VLOOKUP(C173,#REF!,3,0)</f>
        <v>#REF!</v>
      </c>
      <c r="F173" s="57" t="s">
        <v>1595</v>
      </c>
      <c r="G173" s="57" t="s">
        <v>1596</v>
      </c>
      <c r="H173" s="57"/>
      <c r="I173" s="58">
        <v>4</v>
      </c>
      <c r="J173" s="36"/>
      <c r="K173" s="37"/>
      <c r="L173" s="38" t="s">
        <v>1582</v>
      </c>
      <c r="M173" s="39"/>
      <c r="N173" s="44">
        <v>800</v>
      </c>
      <c r="O173" s="25" t="s">
        <v>1360</v>
      </c>
      <c r="P173" s="52"/>
    </row>
    <row r="174" spans="2:16" ht="27.75" customHeight="1">
      <c r="B174" s="25">
        <f t="shared" si="2"/>
        <v>172</v>
      </c>
      <c r="C174" s="42" t="s">
        <v>1121</v>
      </c>
      <c r="D174" s="17" t="s">
        <v>1121</v>
      </c>
      <c r="E174" s="26" t="e">
        <f>VLOOKUP(C174,#REF!,3,0)</f>
        <v>#REF!</v>
      </c>
      <c r="F174" s="57" t="s">
        <v>1597</v>
      </c>
      <c r="G174" s="57" t="s">
        <v>1598</v>
      </c>
      <c r="H174" s="57"/>
      <c r="I174" s="58">
        <v>4</v>
      </c>
      <c r="J174" s="36"/>
      <c r="K174" s="37"/>
      <c r="L174" s="38" t="s">
        <v>1582</v>
      </c>
      <c r="M174" s="39"/>
      <c r="N174" s="44">
        <v>800</v>
      </c>
      <c r="O174" s="25" t="s">
        <v>1360</v>
      </c>
      <c r="P174" s="52"/>
    </row>
    <row r="175" spans="2:16" ht="27.75" customHeight="1">
      <c r="B175" s="25">
        <f t="shared" si="2"/>
        <v>173</v>
      </c>
      <c r="C175" s="42" t="s">
        <v>1122</v>
      </c>
      <c r="D175" s="17" t="s">
        <v>1122</v>
      </c>
      <c r="E175" s="26" t="e">
        <f>VLOOKUP(C175,#REF!,3,0)</f>
        <v>#REF!</v>
      </c>
      <c r="F175" s="57" t="s">
        <v>1599</v>
      </c>
      <c r="G175" s="57" t="s">
        <v>1600</v>
      </c>
      <c r="H175" s="57"/>
      <c r="I175" s="58">
        <v>4</v>
      </c>
      <c r="J175" s="36"/>
      <c r="K175" s="37"/>
      <c r="L175" s="38" t="s">
        <v>1582</v>
      </c>
      <c r="M175" s="39"/>
      <c r="N175" s="44">
        <v>800</v>
      </c>
      <c r="O175" s="25" t="s">
        <v>1360</v>
      </c>
      <c r="P175" s="52"/>
    </row>
    <row r="176" spans="2:16" ht="30" customHeight="1">
      <c r="B176" s="25">
        <f t="shared" si="2"/>
        <v>174</v>
      </c>
      <c r="C176" s="42" t="s">
        <v>555</v>
      </c>
      <c r="D176" s="17" t="s">
        <v>555</v>
      </c>
      <c r="E176" s="26" t="e">
        <f>VLOOKUP(C176,#REF!,3,0)</f>
        <v>#REF!</v>
      </c>
      <c r="F176" s="57" t="s">
        <v>1601</v>
      </c>
      <c r="G176" s="57" t="s">
        <v>1602</v>
      </c>
      <c r="H176" s="57"/>
      <c r="I176" s="58">
        <v>2</v>
      </c>
      <c r="J176" s="36"/>
      <c r="K176" s="37"/>
      <c r="L176" s="38" t="s">
        <v>1582</v>
      </c>
      <c r="M176" s="39"/>
      <c r="N176" s="44">
        <v>800</v>
      </c>
      <c r="O176" s="25" t="s">
        <v>1360</v>
      </c>
      <c r="P176" s="52"/>
    </row>
    <row r="177" spans="2:16" ht="27.75" customHeight="1">
      <c r="B177" s="25">
        <f t="shared" si="2"/>
        <v>175</v>
      </c>
      <c r="C177" s="42" t="s">
        <v>654</v>
      </c>
      <c r="D177" s="17" t="s">
        <v>654</v>
      </c>
      <c r="E177" s="26" t="e">
        <f>VLOOKUP(C177,#REF!,3,0)</f>
        <v>#REF!</v>
      </c>
      <c r="F177" s="57" t="s">
        <v>1603</v>
      </c>
      <c r="G177" s="57" t="s">
        <v>1604</v>
      </c>
      <c r="H177" s="57"/>
      <c r="I177" s="58">
        <v>2</v>
      </c>
      <c r="J177" s="36"/>
      <c r="K177" s="37"/>
      <c r="L177" s="38" t="s">
        <v>1582</v>
      </c>
      <c r="M177" s="39"/>
      <c r="N177" s="44">
        <v>800</v>
      </c>
      <c r="O177" s="25" t="s">
        <v>1360</v>
      </c>
      <c r="P177" s="52"/>
    </row>
    <row r="178" spans="2:16" ht="27.75" customHeight="1">
      <c r="B178" s="25">
        <f t="shared" si="2"/>
        <v>176</v>
      </c>
      <c r="C178" s="42" t="s">
        <v>554</v>
      </c>
      <c r="D178" s="17" t="s">
        <v>554</v>
      </c>
      <c r="E178" s="26" t="e">
        <f>VLOOKUP(C178,#REF!,3,0)</f>
        <v>#REF!</v>
      </c>
      <c r="F178" s="57" t="s">
        <v>1605</v>
      </c>
      <c r="G178" s="57" t="s">
        <v>1606</v>
      </c>
      <c r="H178" s="57"/>
      <c r="I178" s="58">
        <v>4</v>
      </c>
      <c r="J178" s="36"/>
      <c r="K178" s="37" t="s">
        <v>1568</v>
      </c>
      <c r="L178" s="38"/>
      <c r="M178" s="39"/>
      <c r="N178" s="44">
        <v>800</v>
      </c>
      <c r="O178" s="25" t="s">
        <v>1360</v>
      </c>
      <c r="P178" s="52"/>
    </row>
    <row r="179" spans="2:16" ht="27.75" customHeight="1">
      <c r="B179" s="25">
        <f t="shared" si="2"/>
        <v>177</v>
      </c>
      <c r="C179" s="42" t="s">
        <v>256</v>
      </c>
      <c r="D179" s="17" t="s">
        <v>256</v>
      </c>
      <c r="E179" s="26" t="e">
        <f>VLOOKUP(C179,#REF!,3,0)</f>
        <v>#REF!</v>
      </c>
      <c r="F179" s="57" t="s">
        <v>1607</v>
      </c>
      <c r="G179" s="57" t="s">
        <v>1608</v>
      </c>
      <c r="H179" s="57"/>
      <c r="I179" s="58">
        <v>4</v>
      </c>
      <c r="J179" s="36"/>
      <c r="K179" s="37" t="s">
        <v>1568</v>
      </c>
      <c r="L179" s="38"/>
      <c r="M179" s="39"/>
      <c r="N179" s="44">
        <v>800</v>
      </c>
      <c r="O179" s="25" t="s">
        <v>1609</v>
      </c>
      <c r="P179" s="52"/>
    </row>
    <row r="180" spans="2:16" ht="27.75" customHeight="1">
      <c r="B180" s="25">
        <f t="shared" si="2"/>
        <v>178</v>
      </c>
      <c r="C180" s="42" t="s">
        <v>737</v>
      </c>
      <c r="D180" s="17" t="s">
        <v>737</v>
      </c>
      <c r="E180" s="26" t="e">
        <f>VLOOKUP(C180,#REF!,3,0)</f>
        <v>#REF!</v>
      </c>
      <c r="F180" s="57" t="s">
        <v>1610</v>
      </c>
      <c r="G180" s="57" t="s">
        <v>1611</v>
      </c>
      <c r="H180" s="57"/>
      <c r="I180" s="58">
        <v>4</v>
      </c>
      <c r="J180" s="36"/>
      <c r="K180" s="37"/>
      <c r="L180" s="38" t="s">
        <v>1582</v>
      </c>
      <c r="M180" s="39"/>
      <c r="N180" s="44">
        <v>800</v>
      </c>
      <c r="O180" s="25" t="s">
        <v>1609</v>
      </c>
      <c r="P180" s="52"/>
    </row>
    <row r="181" spans="2:16" ht="27.75" customHeight="1">
      <c r="B181" s="25">
        <f t="shared" si="2"/>
        <v>179</v>
      </c>
      <c r="C181" s="42" t="s">
        <v>307</v>
      </c>
      <c r="D181" s="17" t="s">
        <v>307</v>
      </c>
      <c r="E181" s="26" t="e">
        <f>VLOOKUP(C181,#REF!,3,0)</f>
        <v>#REF!</v>
      </c>
      <c r="F181" s="57" t="s">
        <v>1612</v>
      </c>
      <c r="G181" s="57" t="s">
        <v>1613</v>
      </c>
      <c r="H181" s="57"/>
      <c r="I181" s="58">
        <v>4</v>
      </c>
      <c r="J181" s="36"/>
      <c r="K181" s="37"/>
      <c r="L181" s="38" t="s">
        <v>1582</v>
      </c>
      <c r="M181" s="39"/>
      <c r="N181" s="44">
        <v>800</v>
      </c>
      <c r="O181" s="25" t="s">
        <v>1609</v>
      </c>
      <c r="P181" s="52"/>
    </row>
    <row r="182" spans="2:16" ht="27.75" customHeight="1">
      <c r="B182" s="25">
        <f t="shared" si="2"/>
        <v>180</v>
      </c>
      <c r="C182" s="42" t="s">
        <v>331</v>
      </c>
      <c r="D182" s="17" t="s">
        <v>331</v>
      </c>
      <c r="E182" s="26" t="e">
        <f>VLOOKUP(C182,#REF!,3,0)</f>
        <v>#REF!</v>
      </c>
      <c r="F182" s="57" t="s">
        <v>1614</v>
      </c>
      <c r="G182" s="57" t="s">
        <v>1615</v>
      </c>
      <c r="H182" s="57"/>
      <c r="I182" s="58">
        <v>4</v>
      </c>
      <c r="J182" s="36"/>
      <c r="K182" s="37"/>
      <c r="L182" s="38" t="s">
        <v>1582</v>
      </c>
      <c r="M182" s="39"/>
      <c r="N182" s="44">
        <v>800</v>
      </c>
      <c r="O182" s="25" t="s">
        <v>1360</v>
      </c>
      <c r="P182" s="52"/>
    </row>
    <row r="183" spans="2:16" ht="27.75" customHeight="1">
      <c r="B183" s="25">
        <f t="shared" si="2"/>
        <v>181</v>
      </c>
      <c r="C183" s="42" t="s">
        <v>727</v>
      </c>
      <c r="D183" s="17" t="s">
        <v>727</v>
      </c>
      <c r="E183" s="26" t="e">
        <f>VLOOKUP(C183,#REF!,3,0)</f>
        <v>#REF!</v>
      </c>
      <c r="F183" s="57" t="s">
        <v>1616</v>
      </c>
      <c r="G183" s="57" t="s">
        <v>1617</v>
      </c>
      <c r="H183" s="57"/>
      <c r="I183" s="58">
        <v>4</v>
      </c>
      <c r="J183" s="36"/>
      <c r="K183" s="37"/>
      <c r="L183" s="38" t="s">
        <v>1582</v>
      </c>
      <c r="M183" s="39"/>
      <c r="N183" s="44">
        <v>800</v>
      </c>
      <c r="O183" s="25" t="s">
        <v>1609</v>
      </c>
      <c r="P183" s="52"/>
    </row>
    <row r="184" spans="2:16" ht="27.75" customHeight="1">
      <c r="B184" s="25">
        <f t="shared" si="2"/>
        <v>182</v>
      </c>
      <c r="C184" s="42" t="s">
        <v>195</v>
      </c>
      <c r="D184" s="17" t="s">
        <v>195</v>
      </c>
      <c r="E184" s="26" t="e">
        <f>VLOOKUP(C184,#REF!,3,0)</f>
        <v>#REF!</v>
      </c>
      <c r="F184" s="57" t="s">
        <v>1618</v>
      </c>
      <c r="G184" s="57" t="s">
        <v>1619</v>
      </c>
      <c r="H184" s="57"/>
      <c r="I184" s="58">
        <v>2</v>
      </c>
      <c r="J184" s="36"/>
      <c r="K184" s="37"/>
      <c r="L184" s="38" t="s">
        <v>1582</v>
      </c>
      <c r="M184" s="39"/>
      <c r="N184" s="44">
        <v>800</v>
      </c>
      <c r="O184" s="25" t="s">
        <v>1609</v>
      </c>
      <c r="P184" s="52"/>
    </row>
    <row r="185" spans="2:16" ht="27.75" customHeight="1">
      <c r="B185" s="25">
        <f t="shared" si="2"/>
        <v>183</v>
      </c>
      <c r="C185" s="42" t="s">
        <v>1091</v>
      </c>
      <c r="D185" s="17" t="s">
        <v>1091</v>
      </c>
      <c r="E185" s="26" t="e">
        <f>VLOOKUP(C185,#REF!,3,0)</f>
        <v>#REF!</v>
      </c>
      <c r="F185" s="57" t="s">
        <v>1620</v>
      </c>
      <c r="G185" s="57" t="s">
        <v>1621</v>
      </c>
      <c r="H185" s="57"/>
      <c r="I185" s="58">
        <v>8</v>
      </c>
      <c r="J185" s="36" t="s">
        <v>1256</v>
      </c>
      <c r="K185" s="37"/>
      <c r="L185" s="38"/>
      <c r="M185" s="39"/>
      <c r="N185" s="44">
        <v>800</v>
      </c>
      <c r="O185" s="25" t="s">
        <v>1609</v>
      </c>
      <c r="P185" s="52"/>
    </row>
    <row r="186" spans="2:16" ht="27.75" customHeight="1">
      <c r="B186" s="25">
        <f t="shared" si="2"/>
        <v>184</v>
      </c>
      <c r="C186" s="42" t="s">
        <v>40</v>
      </c>
      <c r="D186" s="17" t="s">
        <v>40</v>
      </c>
      <c r="E186" s="26" t="e">
        <f>VLOOKUP(C186,#REF!,3,0)</f>
        <v>#REF!</v>
      </c>
      <c r="F186" s="57" t="s">
        <v>1622</v>
      </c>
      <c r="G186" s="57" t="s">
        <v>1623</v>
      </c>
      <c r="H186" s="57"/>
      <c r="I186" s="58">
        <v>8</v>
      </c>
      <c r="J186" s="36" t="s">
        <v>1256</v>
      </c>
      <c r="K186" s="37"/>
      <c r="L186" s="38"/>
      <c r="M186" s="39"/>
      <c r="N186" s="44">
        <v>800</v>
      </c>
      <c r="O186" s="25" t="s">
        <v>1609</v>
      </c>
      <c r="P186" s="52"/>
    </row>
    <row r="187" spans="2:16" ht="27.75" customHeight="1">
      <c r="B187" s="25">
        <f t="shared" si="2"/>
        <v>185</v>
      </c>
      <c r="C187" s="42" t="s">
        <v>283</v>
      </c>
      <c r="D187" s="17" t="s">
        <v>283</v>
      </c>
      <c r="E187" s="26" t="e">
        <f>VLOOKUP(C187,#REF!,3,0)</f>
        <v>#REF!</v>
      </c>
      <c r="F187" s="57" t="s">
        <v>1624</v>
      </c>
      <c r="G187" s="57" t="s">
        <v>1625</v>
      </c>
      <c r="H187" s="57"/>
      <c r="I187" s="58">
        <v>8</v>
      </c>
      <c r="J187" s="36" t="s">
        <v>1256</v>
      </c>
      <c r="K187" s="37"/>
      <c r="L187" s="38"/>
      <c r="M187" s="39"/>
      <c r="N187" s="44">
        <v>800</v>
      </c>
      <c r="O187" s="25" t="s">
        <v>1609</v>
      </c>
      <c r="P187" s="52"/>
    </row>
    <row r="188" spans="2:16" ht="27.75" customHeight="1">
      <c r="B188" s="25">
        <f t="shared" si="2"/>
        <v>186</v>
      </c>
      <c r="C188" s="42" t="s">
        <v>44</v>
      </c>
      <c r="D188" s="17" t="s">
        <v>44</v>
      </c>
      <c r="E188" s="26" t="e">
        <f>VLOOKUP(C188,#REF!,3,0)</f>
        <v>#REF!</v>
      </c>
      <c r="F188" s="57" t="s">
        <v>1367</v>
      </c>
      <c r="G188" s="57" t="s">
        <v>1626</v>
      </c>
      <c r="H188" s="57"/>
      <c r="I188" s="58">
        <v>8</v>
      </c>
      <c r="J188" s="36"/>
      <c r="K188" s="37"/>
      <c r="L188" s="38" t="s">
        <v>1582</v>
      </c>
      <c r="M188" s="39"/>
      <c r="N188" s="44">
        <v>800</v>
      </c>
      <c r="O188" s="25" t="s">
        <v>1360</v>
      </c>
      <c r="P188" s="52"/>
    </row>
    <row r="189" spans="2:16" ht="27.75" customHeight="1">
      <c r="B189" s="25">
        <f t="shared" si="2"/>
        <v>187</v>
      </c>
      <c r="C189" s="42" t="s">
        <v>836</v>
      </c>
      <c r="D189" s="17" t="s">
        <v>836</v>
      </c>
      <c r="E189" s="26" t="e">
        <f>VLOOKUP(C189,#REF!,3,0)</f>
        <v>#REF!</v>
      </c>
      <c r="F189" s="57" t="s">
        <v>1627</v>
      </c>
      <c r="G189" s="57" t="s">
        <v>1628</v>
      </c>
      <c r="H189" s="57"/>
      <c r="I189" s="58">
        <v>4</v>
      </c>
      <c r="J189" s="36"/>
      <c r="K189" s="37"/>
      <c r="L189" s="38"/>
      <c r="M189" s="39"/>
      <c r="N189" s="44">
        <v>800</v>
      </c>
      <c r="O189" s="25" t="s">
        <v>1360</v>
      </c>
      <c r="P189" s="52"/>
    </row>
    <row r="190" spans="2:16" ht="27.75" customHeight="1">
      <c r="B190" s="25">
        <f t="shared" si="2"/>
        <v>188</v>
      </c>
      <c r="C190" s="42" t="s">
        <v>454</v>
      </c>
      <c r="D190" s="17" t="s">
        <v>454</v>
      </c>
      <c r="E190" s="26" t="e">
        <f>VLOOKUP(C190,#REF!,3,0)</f>
        <v>#REF!</v>
      </c>
      <c r="F190" s="57" t="s">
        <v>1369</v>
      </c>
      <c r="G190" s="57" t="s">
        <v>1629</v>
      </c>
      <c r="H190" s="57"/>
      <c r="I190" s="58">
        <v>4</v>
      </c>
      <c r="J190" s="36"/>
      <c r="K190" s="37"/>
      <c r="L190" s="38" t="s">
        <v>1582</v>
      </c>
      <c r="M190" s="39"/>
      <c r="N190" s="44">
        <v>800</v>
      </c>
      <c r="O190" s="25" t="s">
        <v>1360</v>
      </c>
      <c r="P190" s="52"/>
    </row>
    <row r="191" spans="2:16" ht="27.75" customHeight="1">
      <c r="B191" s="25">
        <f t="shared" si="2"/>
        <v>189</v>
      </c>
      <c r="C191" s="42" t="s">
        <v>1630</v>
      </c>
      <c r="D191" s="17" t="s">
        <v>1630</v>
      </c>
      <c r="E191" s="26" t="e">
        <f>VLOOKUP(C191,#REF!,3,0)</f>
        <v>#REF!</v>
      </c>
      <c r="F191" s="57" t="s">
        <v>1631</v>
      </c>
      <c r="G191" s="57" t="s">
        <v>1632</v>
      </c>
      <c r="H191" s="57"/>
      <c r="I191" s="58">
        <v>4</v>
      </c>
      <c r="J191" s="36"/>
      <c r="K191" s="37"/>
      <c r="L191" s="38"/>
      <c r="M191" s="39"/>
      <c r="N191" s="44">
        <v>800</v>
      </c>
      <c r="O191" s="25" t="s">
        <v>1360</v>
      </c>
      <c r="P191" s="52"/>
    </row>
    <row r="192" spans="2:16" ht="27.75" customHeight="1">
      <c r="B192" s="25">
        <f t="shared" si="2"/>
        <v>190</v>
      </c>
      <c r="C192" s="42" t="s">
        <v>859</v>
      </c>
      <c r="D192" s="17" t="s">
        <v>859</v>
      </c>
      <c r="E192" s="26" t="e">
        <f>VLOOKUP(C192,#REF!,3,0)</f>
        <v>#REF!</v>
      </c>
      <c r="F192" s="57" t="s">
        <v>1492</v>
      </c>
      <c r="G192" s="57" t="s">
        <v>1633</v>
      </c>
      <c r="H192" s="57"/>
      <c r="I192" s="58">
        <v>4</v>
      </c>
      <c r="J192" s="36" t="s">
        <v>1256</v>
      </c>
      <c r="K192" s="37"/>
      <c r="L192" s="38"/>
      <c r="M192" s="39"/>
      <c r="N192" s="44">
        <v>800</v>
      </c>
      <c r="O192" s="25" t="s">
        <v>1360</v>
      </c>
      <c r="P192" s="52"/>
    </row>
    <row r="193" spans="2:16" ht="27.75" customHeight="1">
      <c r="B193" s="25">
        <f t="shared" si="2"/>
        <v>191</v>
      </c>
      <c r="C193" s="42" t="s">
        <v>1634</v>
      </c>
      <c r="D193" s="17" t="s">
        <v>1634</v>
      </c>
      <c r="E193" s="26" t="e">
        <f>VLOOKUP(C193,#REF!,3,0)</f>
        <v>#REF!</v>
      </c>
      <c r="F193" s="57" t="s">
        <v>1580</v>
      </c>
      <c r="G193" s="57" t="s">
        <v>1635</v>
      </c>
      <c r="H193" s="57"/>
      <c r="I193" s="58">
        <v>4</v>
      </c>
      <c r="J193" s="36"/>
      <c r="K193" s="37"/>
      <c r="L193" s="38"/>
      <c r="M193" s="39"/>
      <c r="N193" s="44">
        <v>800</v>
      </c>
      <c r="O193" s="25" t="s">
        <v>1588</v>
      </c>
      <c r="P193" s="52"/>
    </row>
    <row r="194" spans="2:16" ht="27.75" customHeight="1">
      <c r="B194" s="25">
        <f t="shared" si="2"/>
        <v>192</v>
      </c>
      <c r="C194" s="42" t="s">
        <v>682</v>
      </c>
      <c r="D194" s="59" t="s">
        <v>682</v>
      </c>
      <c r="E194" s="26" t="e">
        <f>VLOOKUP(C194,#REF!,3,0)</f>
        <v>#REF!</v>
      </c>
      <c r="F194" s="57" t="s">
        <v>1636</v>
      </c>
      <c r="G194" s="57" t="s">
        <v>1637</v>
      </c>
      <c r="H194" s="57"/>
      <c r="I194" s="58">
        <v>2</v>
      </c>
      <c r="J194" s="36"/>
      <c r="K194" s="37"/>
      <c r="L194" s="38" t="s">
        <v>1582</v>
      </c>
      <c r="M194" s="39"/>
      <c r="N194" s="44">
        <v>800</v>
      </c>
      <c r="O194" s="25" t="s">
        <v>1638</v>
      </c>
      <c r="P194" s="52"/>
    </row>
    <row r="195" spans="2:16" ht="27.75" customHeight="1">
      <c r="B195" s="25">
        <f t="shared" si="2"/>
        <v>193</v>
      </c>
      <c r="C195" s="42" t="s">
        <v>738</v>
      </c>
      <c r="D195" s="59" t="s">
        <v>738</v>
      </c>
      <c r="E195" s="26" t="e">
        <f>VLOOKUP(C195,#REF!,3,0)</f>
        <v>#REF!</v>
      </c>
      <c r="F195" s="57" t="s">
        <v>1639</v>
      </c>
      <c r="G195" s="57" t="s">
        <v>1640</v>
      </c>
      <c r="H195" s="57"/>
      <c r="I195" s="58">
        <v>2</v>
      </c>
      <c r="J195" s="36"/>
      <c r="K195" s="37"/>
      <c r="L195" s="38" t="s">
        <v>1582</v>
      </c>
      <c r="M195" s="39"/>
      <c r="N195" s="44">
        <v>800</v>
      </c>
      <c r="O195" s="25" t="s">
        <v>1360</v>
      </c>
      <c r="P195" s="52"/>
    </row>
    <row r="196" spans="2:16" ht="27.75" customHeight="1">
      <c r="B196" s="25">
        <f t="shared" si="2"/>
        <v>194</v>
      </c>
      <c r="C196" s="42" t="s">
        <v>1641</v>
      </c>
      <c r="D196" s="17" t="s">
        <v>1641</v>
      </c>
      <c r="E196" s="26" t="e">
        <f>VLOOKUP(C196,#REF!,3,0)</f>
        <v>#REF!</v>
      </c>
      <c r="F196" s="205" t="s">
        <v>1642</v>
      </c>
      <c r="G196" s="25" t="s">
        <v>1643</v>
      </c>
      <c r="H196" s="25"/>
      <c r="I196" s="35">
        <v>8</v>
      </c>
      <c r="J196" s="36"/>
      <c r="K196" s="37"/>
      <c r="L196" s="38"/>
      <c r="M196" s="39" t="s">
        <v>1250</v>
      </c>
      <c r="N196" s="44">
        <v>800</v>
      </c>
      <c r="O196" s="25" t="s">
        <v>1644</v>
      </c>
      <c r="P196" s="34" t="s">
        <v>1258</v>
      </c>
    </row>
    <row r="197" spans="2:16" ht="27.75" customHeight="1">
      <c r="B197" s="25">
        <f t="shared" si="2"/>
        <v>195</v>
      </c>
      <c r="C197" s="42" t="s">
        <v>1645</v>
      </c>
      <c r="D197" s="17" t="s">
        <v>1645</v>
      </c>
      <c r="E197" s="26" t="e">
        <f>VLOOKUP(C197,#REF!,3,0)</f>
        <v>#REF!</v>
      </c>
      <c r="F197" s="205" t="s">
        <v>1646</v>
      </c>
      <c r="G197" s="25" t="s">
        <v>1647</v>
      </c>
      <c r="H197" s="25"/>
      <c r="I197" s="35">
        <v>8</v>
      </c>
      <c r="J197" s="36"/>
      <c r="K197" s="37"/>
      <c r="L197" s="38"/>
      <c r="M197" s="39" t="s">
        <v>1250</v>
      </c>
      <c r="N197" s="44">
        <v>800</v>
      </c>
      <c r="O197" s="25" t="s">
        <v>1644</v>
      </c>
      <c r="P197" s="34" t="s">
        <v>1258</v>
      </c>
    </row>
    <row r="198" spans="2:16" ht="27.75" customHeight="1">
      <c r="B198" s="25">
        <f t="shared" si="2"/>
        <v>196</v>
      </c>
      <c r="C198" s="42" t="s">
        <v>1648</v>
      </c>
      <c r="D198" s="17" t="s">
        <v>1648</v>
      </c>
      <c r="E198" s="26" t="e">
        <f>VLOOKUP(C198,#REF!,3,0)</f>
        <v>#REF!</v>
      </c>
      <c r="F198" s="205" t="s">
        <v>1649</v>
      </c>
      <c r="G198" s="25" t="s">
        <v>1650</v>
      </c>
      <c r="H198" s="25"/>
      <c r="I198" s="35">
        <v>8</v>
      </c>
      <c r="J198" s="36"/>
      <c r="K198" s="37"/>
      <c r="L198" s="38"/>
      <c r="M198" s="39" t="s">
        <v>1250</v>
      </c>
      <c r="N198" s="44">
        <v>800</v>
      </c>
      <c r="O198" s="25" t="s">
        <v>1644</v>
      </c>
      <c r="P198" s="34" t="s">
        <v>1651</v>
      </c>
    </row>
    <row r="199" spans="2:16" ht="27.75" customHeight="1">
      <c r="B199" s="25">
        <f t="shared" ref="B199:B262" si="3">B198+1</f>
        <v>197</v>
      </c>
      <c r="C199" s="42" t="s">
        <v>917</v>
      </c>
      <c r="D199" s="17" t="s">
        <v>917</v>
      </c>
      <c r="E199" s="26" t="e">
        <f>VLOOKUP(C199,#REF!,3,0)</f>
        <v>#REF!</v>
      </c>
      <c r="F199" s="205" t="s">
        <v>1652</v>
      </c>
      <c r="G199" s="25" t="s">
        <v>1650</v>
      </c>
      <c r="H199" s="25"/>
      <c r="I199" s="35">
        <v>8</v>
      </c>
      <c r="J199" s="36"/>
      <c r="K199" s="37"/>
      <c r="L199" s="38"/>
      <c r="M199" s="39" t="s">
        <v>1250</v>
      </c>
      <c r="N199" s="44">
        <v>800</v>
      </c>
      <c r="O199" s="25" t="s">
        <v>1644</v>
      </c>
      <c r="P199" s="34" t="s">
        <v>1653</v>
      </c>
    </row>
    <row r="200" spans="2:16" ht="27.75" customHeight="1">
      <c r="B200" s="25">
        <f t="shared" si="3"/>
        <v>198</v>
      </c>
      <c r="C200" s="42" t="s">
        <v>330</v>
      </c>
      <c r="D200" s="17" t="s">
        <v>330</v>
      </c>
      <c r="E200" s="26" t="e">
        <f>VLOOKUP(C200,#REF!,3,0)</f>
        <v>#REF!</v>
      </c>
      <c r="F200" s="205" t="s">
        <v>1654</v>
      </c>
      <c r="G200" s="25" t="s">
        <v>1655</v>
      </c>
      <c r="H200" s="25"/>
      <c r="I200" s="35">
        <v>8</v>
      </c>
      <c r="J200" s="36" t="s">
        <v>1256</v>
      </c>
      <c r="K200" s="37"/>
      <c r="L200" s="38"/>
      <c r="M200" s="39"/>
      <c r="N200" s="44">
        <v>800</v>
      </c>
      <c r="O200" s="25" t="s">
        <v>1290</v>
      </c>
      <c r="P200" s="34" t="s">
        <v>1656</v>
      </c>
    </row>
    <row r="201" spans="2:16" ht="27.75" customHeight="1">
      <c r="B201" s="25">
        <f t="shared" si="3"/>
        <v>199</v>
      </c>
      <c r="C201" s="42" t="s">
        <v>916</v>
      </c>
      <c r="D201" s="17" t="s">
        <v>916</v>
      </c>
      <c r="E201" s="26" t="e">
        <f>VLOOKUP(C201,#REF!,3,0)</f>
        <v>#REF!</v>
      </c>
      <c r="F201" s="205" t="s">
        <v>1657</v>
      </c>
      <c r="G201" s="25" t="s">
        <v>1658</v>
      </c>
      <c r="H201" s="25"/>
      <c r="I201" s="35">
        <v>8</v>
      </c>
      <c r="J201" s="36"/>
      <c r="K201" s="37"/>
      <c r="L201" s="38"/>
      <c r="M201" s="39" t="s">
        <v>1250</v>
      </c>
      <c r="N201" s="44">
        <v>800</v>
      </c>
      <c r="O201" s="25" t="s">
        <v>1290</v>
      </c>
      <c r="P201" s="34" t="s">
        <v>1258</v>
      </c>
    </row>
    <row r="202" spans="2:16" ht="27.75" customHeight="1">
      <c r="B202" s="25">
        <f t="shared" si="3"/>
        <v>200</v>
      </c>
      <c r="C202" s="42" t="s">
        <v>306</v>
      </c>
      <c r="D202" s="17" t="s">
        <v>306</v>
      </c>
      <c r="E202" s="26" t="e">
        <f>VLOOKUP(C202,#REF!,3,0)</f>
        <v>#REF!</v>
      </c>
      <c r="F202" s="205" t="s">
        <v>1659</v>
      </c>
      <c r="G202" s="25" t="s">
        <v>1660</v>
      </c>
      <c r="H202" s="25"/>
      <c r="I202" s="35">
        <v>8</v>
      </c>
      <c r="J202" s="36"/>
      <c r="K202" s="37"/>
      <c r="L202" s="38"/>
      <c r="M202" s="39" t="s">
        <v>1250</v>
      </c>
      <c r="N202" s="44">
        <v>800</v>
      </c>
      <c r="O202" s="25" t="s">
        <v>1290</v>
      </c>
      <c r="P202" s="34" t="s">
        <v>1258</v>
      </c>
    </row>
    <row r="203" spans="2:16" ht="27.75" customHeight="1">
      <c r="B203" s="25">
        <f t="shared" si="3"/>
        <v>201</v>
      </c>
      <c r="C203" s="42" t="s">
        <v>828</v>
      </c>
      <c r="D203" s="17" t="s">
        <v>828</v>
      </c>
      <c r="E203" s="26" t="e">
        <f>VLOOKUP(C203,#REF!,3,0)</f>
        <v>#REF!</v>
      </c>
      <c r="F203" s="205" t="s">
        <v>1661</v>
      </c>
      <c r="G203" s="25" t="s">
        <v>1662</v>
      </c>
      <c r="H203" s="25"/>
      <c r="I203" s="35">
        <v>8</v>
      </c>
      <c r="J203" s="36"/>
      <c r="K203" s="37"/>
      <c r="L203" s="38"/>
      <c r="M203" s="39" t="s">
        <v>1250</v>
      </c>
      <c r="N203" s="44">
        <v>800</v>
      </c>
      <c r="O203" s="25" t="s">
        <v>1258</v>
      </c>
      <c r="P203" s="34" t="s">
        <v>1258</v>
      </c>
    </row>
    <row r="204" spans="2:16" ht="27.75" customHeight="1">
      <c r="B204" s="25">
        <f t="shared" si="3"/>
        <v>202</v>
      </c>
      <c r="C204" s="42" t="s">
        <v>907</v>
      </c>
      <c r="D204" s="17" t="s">
        <v>907</v>
      </c>
      <c r="E204" s="26" t="e">
        <f>VLOOKUP(C204,#REF!,3,0)</f>
        <v>#REF!</v>
      </c>
      <c r="F204" s="205" t="s">
        <v>1663</v>
      </c>
      <c r="G204" s="25" t="s">
        <v>1664</v>
      </c>
      <c r="H204" s="25"/>
      <c r="I204" s="35">
        <v>8</v>
      </c>
      <c r="J204" s="36" t="s">
        <v>1256</v>
      </c>
      <c r="K204" s="37"/>
      <c r="L204" s="38"/>
      <c r="M204" s="39"/>
      <c r="N204" s="44">
        <v>800</v>
      </c>
      <c r="O204" s="25" t="s">
        <v>1385</v>
      </c>
      <c r="P204" s="34" t="s">
        <v>1665</v>
      </c>
    </row>
    <row r="205" spans="2:16" ht="27.75" customHeight="1">
      <c r="B205" s="25">
        <f t="shared" si="3"/>
        <v>203</v>
      </c>
      <c r="C205" s="42" t="s">
        <v>915</v>
      </c>
      <c r="D205" s="17" t="s">
        <v>915</v>
      </c>
      <c r="E205" s="26" t="e">
        <f>VLOOKUP(C205,#REF!,3,0)</f>
        <v>#REF!</v>
      </c>
      <c r="F205" s="205" t="s">
        <v>1657</v>
      </c>
      <c r="G205" s="25" t="s">
        <v>1658</v>
      </c>
      <c r="H205" s="25"/>
      <c r="I205" s="35">
        <v>8</v>
      </c>
      <c r="J205" s="36" t="s">
        <v>1256</v>
      </c>
      <c r="K205" s="37"/>
      <c r="L205" s="38"/>
      <c r="M205" s="39"/>
      <c r="N205" s="44">
        <v>800</v>
      </c>
      <c r="O205" s="25" t="s">
        <v>1385</v>
      </c>
      <c r="P205" s="34" t="s">
        <v>1666</v>
      </c>
    </row>
    <row r="206" spans="2:16" ht="27.75" customHeight="1">
      <c r="B206" s="25">
        <f t="shared" si="3"/>
        <v>204</v>
      </c>
      <c r="C206" s="42" t="s">
        <v>69</v>
      </c>
      <c r="D206" s="17" t="s">
        <v>69</v>
      </c>
      <c r="E206" s="26" t="e">
        <f>VLOOKUP(C206,#REF!,3,0)</f>
        <v>#REF!</v>
      </c>
      <c r="F206" s="205" t="s">
        <v>1667</v>
      </c>
      <c r="G206" s="25" t="s">
        <v>1668</v>
      </c>
      <c r="H206" s="25"/>
      <c r="I206" s="35">
        <v>8</v>
      </c>
      <c r="J206" s="36" t="s">
        <v>1256</v>
      </c>
      <c r="K206" s="37"/>
      <c r="L206" s="38"/>
      <c r="M206" s="39"/>
      <c r="N206" s="44">
        <v>800</v>
      </c>
      <c r="O206" s="25" t="s">
        <v>1385</v>
      </c>
      <c r="P206" s="34" t="s">
        <v>1669</v>
      </c>
    </row>
    <row r="207" spans="2:16" ht="27.75" customHeight="1">
      <c r="B207" s="25">
        <f t="shared" si="3"/>
        <v>205</v>
      </c>
      <c r="C207" s="42" t="s">
        <v>1670</v>
      </c>
      <c r="D207" s="17" t="s">
        <v>1670</v>
      </c>
      <c r="E207" s="26" t="e">
        <f>VLOOKUP(C207,#REF!,3,0)</f>
        <v>#REF!</v>
      </c>
      <c r="F207" s="205" t="s">
        <v>1671</v>
      </c>
      <c r="G207" s="25" t="s">
        <v>1672</v>
      </c>
      <c r="H207" s="25"/>
      <c r="I207" s="35">
        <v>8</v>
      </c>
      <c r="J207" s="36"/>
      <c r="K207" s="37"/>
      <c r="L207" s="38"/>
      <c r="M207" s="39" t="s">
        <v>1250</v>
      </c>
      <c r="N207" s="44">
        <v>800</v>
      </c>
      <c r="O207" s="25" t="s">
        <v>1385</v>
      </c>
      <c r="P207" s="34" t="s">
        <v>1673</v>
      </c>
    </row>
    <row r="208" spans="2:16" ht="27.75" customHeight="1">
      <c r="B208" s="25">
        <f t="shared" si="3"/>
        <v>206</v>
      </c>
      <c r="C208" s="42" t="s">
        <v>68</v>
      </c>
      <c r="D208" s="17" t="s">
        <v>68</v>
      </c>
      <c r="E208" s="26" t="e">
        <f>VLOOKUP(C208,#REF!,3,0)</f>
        <v>#REF!</v>
      </c>
      <c r="F208" s="205" t="s">
        <v>1674</v>
      </c>
      <c r="G208" s="25" t="s">
        <v>1675</v>
      </c>
      <c r="H208" s="25"/>
      <c r="I208" s="35">
        <v>8</v>
      </c>
      <c r="J208" s="36" t="s">
        <v>1256</v>
      </c>
      <c r="K208" s="37"/>
      <c r="L208" s="38"/>
      <c r="M208" s="39"/>
      <c r="N208" s="44">
        <v>800</v>
      </c>
      <c r="O208" s="25" t="s">
        <v>1385</v>
      </c>
      <c r="P208" s="34" t="s">
        <v>1676</v>
      </c>
    </row>
    <row r="209" spans="2:16" ht="27.75" customHeight="1">
      <c r="B209" s="25">
        <f t="shared" si="3"/>
        <v>207</v>
      </c>
      <c r="C209" s="42" t="s">
        <v>1093</v>
      </c>
      <c r="D209" s="17" t="s">
        <v>1093</v>
      </c>
      <c r="E209" s="26" t="e">
        <f>VLOOKUP(C209,#REF!,3,0)</f>
        <v>#REF!</v>
      </c>
      <c r="F209" s="205" t="s">
        <v>1677</v>
      </c>
      <c r="G209" s="25" t="s">
        <v>1678</v>
      </c>
      <c r="H209" s="25"/>
      <c r="I209" s="35">
        <v>8</v>
      </c>
      <c r="J209" s="36" t="s">
        <v>1256</v>
      </c>
      <c r="K209" s="37"/>
      <c r="L209" s="38"/>
      <c r="M209" s="39"/>
      <c r="N209" s="44">
        <v>800</v>
      </c>
      <c r="O209" s="25" t="s">
        <v>1385</v>
      </c>
      <c r="P209" s="34" t="s">
        <v>1679</v>
      </c>
    </row>
    <row r="210" spans="2:16" ht="27.75" customHeight="1">
      <c r="B210" s="25">
        <f t="shared" si="3"/>
        <v>208</v>
      </c>
      <c r="C210" s="42" t="s">
        <v>298</v>
      </c>
      <c r="D210" s="17" t="s">
        <v>298</v>
      </c>
      <c r="E210" s="26" t="e">
        <f>VLOOKUP(C210,#REF!,3,0)</f>
        <v>#REF!</v>
      </c>
      <c r="F210" s="205" t="s">
        <v>1680</v>
      </c>
      <c r="G210" s="25" t="s">
        <v>1681</v>
      </c>
      <c r="H210" s="25"/>
      <c r="I210" s="35">
        <v>8</v>
      </c>
      <c r="J210" s="36" t="s">
        <v>1256</v>
      </c>
      <c r="K210" s="37"/>
      <c r="L210" s="38"/>
      <c r="M210" s="39"/>
      <c r="N210" s="44">
        <v>800</v>
      </c>
      <c r="O210" s="25" t="s">
        <v>1385</v>
      </c>
      <c r="P210" s="34" t="s">
        <v>1682</v>
      </c>
    </row>
    <row r="211" spans="2:16" ht="27.75" customHeight="1">
      <c r="B211" s="25">
        <f t="shared" si="3"/>
        <v>209</v>
      </c>
      <c r="C211" s="42" t="s">
        <v>297</v>
      </c>
      <c r="D211" s="17" t="s">
        <v>297</v>
      </c>
      <c r="E211" s="26" t="e">
        <f>VLOOKUP(C211,#REF!,3,0)</f>
        <v>#REF!</v>
      </c>
      <c r="F211" s="205" t="s">
        <v>1683</v>
      </c>
      <c r="G211" s="25" t="s">
        <v>1684</v>
      </c>
      <c r="H211" s="25"/>
      <c r="I211" s="35">
        <v>8</v>
      </c>
      <c r="J211" s="36" t="s">
        <v>1256</v>
      </c>
      <c r="K211" s="37"/>
      <c r="L211" s="38"/>
      <c r="M211" s="39"/>
      <c r="N211" s="44">
        <v>800</v>
      </c>
      <c r="O211" s="25" t="s">
        <v>1385</v>
      </c>
      <c r="P211" s="34" t="s">
        <v>1685</v>
      </c>
    </row>
    <row r="212" spans="2:16" ht="27.75" customHeight="1">
      <c r="B212" s="25">
        <f t="shared" si="3"/>
        <v>210</v>
      </c>
      <c r="C212" s="42" t="s">
        <v>344</v>
      </c>
      <c r="D212" s="17" t="s">
        <v>344</v>
      </c>
      <c r="E212" s="26" t="e">
        <f>VLOOKUP(C212,#REF!,3,0)</f>
        <v>#REF!</v>
      </c>
      <c r="F212" s="205" t="s">
        <v>1686</v>
      </c>
      <c r="G212" s="25" t="s">
        <v>1687</v>
      </c>
      <c r="H212" s="25"/>
      <c r="I212" s="35">
        <v>8</v>
      </c>
      <c r="J212" s="36" t="s">
        <v>1256</v>
      </c>
      <c r="K212" s="37"/>
      <c r="L212" s="38"/>
      <c r="M212" s="39"/>
      <c r="N212" s="44">
        <v>800</v>
      </c>
      <c r="O212" s="25" t="s">
        <v>1385</v>
      </c>
      <c r="P212" s="34" t="s">
        <v>1688</v>
      </c>
    </row>
    <row r="213" spans="2:16" ht="27.75" customHeight="1">
      <c r="B213" s="25">
        <f t="shared" si="3"/>
        <v>211</v>
      </c>
      <c r="C213" s="42" t="s">
        <v>292</v>
      </c>
      <c r="D213" s="17" t="s">
        <v>292</v>
      </c>
      <c r="E213" s="26" t="e">
        <f>VLOOKUP(C213,#REF!,3,0)</f>
        <v>#REF!</v>
      </c>
      <c r="F213" s="205" t="s">
        <v>1689</v>
      </c>
      <c r="G213" s="25" t="s">
        <v>1690</v>
      </c>
      <c r="H213" s="25"/>
      <c r="I213" s="35">
        <v>8</v>
      </c>
      <c r="J213" s="36" t="s">
        <v>1256</v>
      </c>
      <c r="K213" s="37"/>
      <c r="L213" s="38"/>
      <c r="M213" s="39"/>
      <c r="N213" s="44">
        <v>800</v>
      </c>
      <c r="O213" s="25" t="s">
        <v>1385</v>
      </c>
      <c r="P213" s="34" t="s">
        <v>1691</v>
      </c>
    </row>
    <row r="214" spans="2:16" ht="27.75" customHeight="1">
      <c r="B214" s="25">
        <f t="shared" si="3"/>
        <v>212</v>
      </c>
      <c r="C214" s="42" t="s">
        <v>303</v>
      </c>
      <c r="D214" s="17" t="s">
        <v>303</v>
      </c>
      <c r="E214" s="26" t="e">
        <f>VLOOKUP(C214,#REF!,3,0)</f>
        <v>#REF!</v>
      </c>
      <c r="F214" s="205" t="s">
        <v>1692</v>
      </c>
      <c r="G214" s="40" t="s">
        <v>1693</v>
      </c>
      <c r="H214" s="40"/>
      <c r="I214" s="35">
        <v>8</v>
      </c>
      <c r="J214" s="36" t="s">
        <v>1256</v>
      </c>
      <c r="K214" s="37"/>
      <c r="L214" s="38"/>
      <c r="M214" s="39"/>
      <c r="N214" s="44">
        <v>800</v>
      </c>
      <c r="O214" s="25" t="s">
        <v>1431</v>
      </c>
      <c r="P214" s="34" t="s">
        <v>1694</v>
      </c>
    </row>
    <row r="215" spans="2:16" ht="27.75" customHeight="1">
      <c r="B215" s="25">
        <f t="shared" si="3"/>
        <v>213</v>
      </c>
      <c r="C215" s="42" t="s">
        <v>360</v>
      </c>
      <c r="D215" s="17" t="s">
        <v>360</v>
      </c>
      <c r="E215" s="26" t="e">
        <f>VLOOKUP(C215,#REF!,3,0)</f>
        <v>#REF!</v>
      </c>
      <c r="F215" s="205" t="s">
        <v>1695</v>
      </c>
      <c r="G215" s="40" t="s">
        <v>1696</v>
      </c>
      <c r="H215" s="40"/>
      <c r="I215" s="35">
        <v>16</v>
      </c>
      <c r="J215" s="36" t="s">
        <v>1256</v>
      </c>
      <c r="K215" s="37"/>
      <c r="L215" s="38"/>
      <c r="M215" s="39"/>
      <c r="N215" s="44">
        <v>500</v>
      </c>
      <c r="O215" s="25" t="s">
        <v>1542</v>
      </c>
      <c r="P215" s="34" t="s">
        <v>1697</v>
      </c>
    </row>
    <row r="216" spans="2:16" ht="27.75" customHeight="1">
      <c r="B216" s="25">
        <f t="shared" si="3"/>
        <v>214</v>
      </c>
      <c r="C216" s="42" t="s">
        <v>1060</v>
      </c>
      <c r="D216" s="17" t="s">
        <v>1060</v>
      </c>
      <c r="E216" s="26" t="e">
        <f>VLOOKUP(C216,#REF!,3,0)</f>
        <v>#REF!</v>
      </c>
      <c r="F216" s="205" t="s">
        <v>1698</v>
      </c>
      <c r="G216" s="40" t="s">
        <v>1699</v>
      </c>
      <c r="H216" s="40"/>
      <c r="I216" s="35">
        <v>16</v>
      </c>
      <c r="J216" s="36" t="s">
        <v>1256</v>
      </c>
      <c r="K216" s="37"/>
      <c r="L216" s="38"/>
      <c r="M216" s="39"/>
      <c r="N216" s="44">
        <v>500</v>
      </c>
      <c r="O216" s="25" t="s">
        <v>1542</v>
      </c>
      <c r="P216" s="34" t="s">
        <v>1697</v>
      </c>
    </row>
    <row r="217" spans="2:16" ht="27.75" customHeight="1">
      <c r="B217" s="25">
        <f t="shared" si="3"/>
        <v>215</v>
      </c>
      <c r="C217" s="42" t="s">
        <v>953</v>
      </c>
      <c r="D217" s="17" t="s">
        <v>953</v>
      </c>
      <c r="E217" s="26" t="e">
        <f>VLOOKUP(C217,#REF!,3,0)</f>
        <v>#REF!</v>
      </c>
      <c r="F217" s="205" t="s">
        <v>1700</v>
      </c>
      <c r="G217" s="25" t="s">
        <v>1701</v>
      </c>
      <c r="H217" s="25"/>
      <c r="I217" s="35">
        <v>2</v>
      </c>
      <c r="J217" s="36"/>
      <c r="K217" s="37"/>
      <c r="L217" s="38"/>
      <c r="M217" s="39" t="s">
        <v>1250</v>
      </c>
      <c r="N217" s="44">
        <v>800</v>
      </c>
      <c r="O217" s="25" t="s">
        <v>1310</v>
      </c>
      <c r="P217" s="34" t="s">
        <v>1702</v>
      </c>
    </row>
    <row r="218" spans="2:16" ht="27.75" customHeight="1">
      <c r="B218" s="25">
        <f t="shared" si="3"/>
        <v>216</v>
      </c>
      <c r="C218" s="42" t="s">
        <v>952</v>
      </c>
      <c r="D218" s="17" t="s">
        <v>952</v>
      </c>
      <c r="E218" s="26" t="e">
        <f>VLOOKUP(C218,#REF!,3,0)</f>
        <v>#REF!</v>
      </c>
      <c r="F218" s="205" t="s">
        <v>1703</v>
      </c>
      <c r="G218" s="25" t="s">
        <v>1704</v>
      </c>
      <c r="H218" s="25"/>
      <c r="I218" s="35">
        <v>2</v>
      </c>
      <c r="J218" s="36"/>
      <c r="K218" s="37"/>
      <c r="L218" s="38"/>
      <c r="M218" s="39" t="s">
        <v>1250</v>
      </c>
      <c r="N218" s="44">
        <v>800</v>
      </c>
      <c r="O218" s="25" t="s">
        <v>1310</v>
      </c>
      <c r="P218" s="34" t="s">
        <v>1705</v>
      </c>
    </row>
    <row r="219" spans="2:16" ht="27.75" customHeight="1">
      <c r="B219" s="25">
        <f t="shared" si="3"/>
        <v>217</v>
      </c>
      <c r="C219" s="42" t="s">
        <v>1111</v>
      </c>
      <c r="D219" s="17" t="s">
        <v>1111</v>
      </c>
      <c r="E219" s="26" t="e">
        <f>VLOOKUP(C219,#REF!,3,0)</f>
        <v>#REF!</v>
      </c>
      <c r="F219" s="205" t="s">
        <v>1706</v>
      </c>
      <c r="G219" s="25" t="s">
        <v>1707</v>
      </c>
      <c r="H219" s="25"/>
      <c r="I219" s="35">
        <v>4</v>
      </c>
      <c r="J219" s="36" t="s">
        <v>1256</v>
      </c>
      <c r="K219" s="37"/>
      <c r="L219" s="38"/>
      <c r="M219" s="39"/>
      <c r="N219" s="44">
        <v>500</v>
      </c>
      <c r="O219" s="25" t="s">
        <v>1310</v>
      </c>
      <c r="P219" s="34" t="s">
        <v>1708</v>
      </c>
    </row>
    <row r="220" spans="2:16" ht="27.75" customHeight="1">
      <c r="B220" s="25">
        <f t="shared" si="3"/>
        <v>218</v>
      </c>
      <c r="C220" s="42" t="s">
        <v>178</v>
      </c>
      <c r="D220" s="17" t="s">
        <v>178</v>
      </c>
      <c r="E220" s="26" t="e">
        <f>VLOOKUP(C220,#REF!,3,0)</f>
        <v>#REF!</v>
      </c>
      <c r="F220" s="205" t="s">
        <v>1709</v>
      </c>
      <c r="G220" s="25" t="s">
        <v>1710</v>
      </c>
      <c r="H220" s="25"/>
      <c r="I220" s="35">
        <v>4</v>
      </c>
      <c r="J220" s="36" t="s">
        <v>1256</v>
      </c>
      <c r="K220" s="37"/>
      <c r="L220" s="38"/>
      <c r="M220" s="39"/>
      <c r="N220" s="44">
        <v>500</v>
      </c>
      <c r="O220" s="25" t="s">
        <v>1310</v>
      </c>
      <c r="P220" s="34" t="s">
        <v>1711</v>
      </c>
    </row>
    <row r="221" spans="2:16" ht="27.75" customHeight="1">
      <c r="B221" s="25">
        <f t="shared" si="3"/>
        <v>219</v>
      </c>
      <c r="C221" s="42" t="s">
        <v>189</v>
      </c>
      <c r="D221" s="17" t="s">
        <v>189</v>
      </c>
      <c r="E221" s="26" t="e">
        <f>VLOOKUP(C221,#REF!,3,0)</f>
        <v>#REF!</v>
      </c>
      <c r="F221" s="205" t="s">
        <v>1712</v>
      </c>
      <c r="G221" s="25" t="s">
        <v>1713</v>
      </c>
      <c r="H221" s="25"/>
      <c r="I221" s="35">
        <v>2</v>
      </c>
      <c r="J221" s="36" t="s">
        <v>1256</v>
      </c>
      <c r="K221" s="37"/>
      <c r="L221" s="38"/>
      <c r="M221" s="39"/>
      <c r="N221" s="44">
        <v>500</v>
      </c>
      <c r="O221" s="25" t="s">
        <v>1310</v>
      </c>
      <c r="P221" s="34" t="s">
        <v>1714</v>
      </c>
    </row>
    <row r="222" spans="2:16" ht="27.75" customHeight="1">
      <c r="B222" s="25">
        <f t="shared" si="3"/>
        <v>220</v>
      </c>
      <c r="C222" s="42" t="s">
        <v>284</v>
      </c>
      <c r="D222" s="17" t="s">
        <v>284</v>
      </c>
      <c r="E222" s="26" t="e">
        <f>VLOOKUP(C222,#REF!,3,0)</f>
        <v>#REF!</v>
      </c>
      <c r="F222" s="205" t="s">
        <v>1715</v>
      </c>
      <c r="G222" s="25" t="s">
        <v>1716</v>
      </c>
      <c r="H222" s="25"/>
      <c r="I222" s="35">
        <v>4</v>
      </c>
      <c r="J222" s="36" t="s">
        <v>1256</v>
      </c>
      <c r="K222" s="37"/>
      <c r="L222" s="38"/>
      <c r="M222" s="39"/>
      <c r="N222" s="44">
        <v>500</v>
      </c>
      <c r="O222" s="25" t="s">
        <v>1310</v>
      </c>
      <c r="P222" s="34" t="s">
        <v>1717</v>
      </c>
    </row>
    <row r="223" spans="2:16" ht="27.75" customHeight="1">
      <c r="B223" s="25">
        <f t="shared" si="3"/>
        <v>221</v>
      </c>
      <c r="C223" s="42" t="s">
        <v>191</v>
      </c>
      <c r="D223" s="17" t="s">
        <v>191</v>
      </c>
      <c r="E223" s="26" t="e">
        <f>VLOOKUP(C223,#REF!,3,0)</f>
        <v>#REF!</v>
      </c>
      <c r="F223" s="205" t="s">
        <v>1718</v>
      </c>
      <c r="G223" s="25" t="s">
        <v>1719</v>
      </c>
      <c r="H223" s="25"/>
      <c r="I223" s="35">
        <v>2</v>
      </c>
      <c r="J223" s="36"/>
      <c r="K223" s="37"/>
      <c r="L223" s="38"/>
      <c r="M223" s="39" t="s">
        <v>1250</v>
      </c>
      <c r="N223" s="44">
        <v>500</v>
      </c>
      <c r="O223" s="25" t="s">
        <v>1310</v>
      </c>
      <c r="P223" s="34" t="s">
        <v>1720</v>
      </c>
    </row>
    <row r="224" spans="2:16" ht="27.75" customHeight="1">
      <c r="B224" s="25">
        <f t="shared" si="3"/>
        <v>222</v>
      </c>
      <c r="C224" s="42" t="s">
        <v>190</v>
      </c>
      <c r="D224" s="17" t="s">
        <v>190</v>
      </c>
      <c r="E224" s="26" t="e">
        <f>VLOOKUP(C224,#REF!,3,0)</f>
        <v>#REF!</v>
      </c>
      <c r="F224" s="205" t="s">
        <v>1712</v>
      </c>
      <c r="G224" s="25" t="s">
        <v>1721</v>
      </c>
      <c r="H224" s="25"/>
      <c r="I224" s="35">
        <v>2</v>
      </c>
      <c r="J224" s="36"/>
      <c r="K224" s="37"/>
      <c r="L224" s="38"/>
      <c r="M224" s="39" t="s">
        <v>1250</v>
      </c>
      <c r="N224" s="44">
        <v>500</v>
      </c>
      <c r="O224" s="25" t="s">
        <v>1310</v>
      </c>
      <c r="P224" s="34" t="s">
        <v>1722</v>
      </c>
    </row>
    <row r="225" spans="2:16" ht="27.75" customHeight="1">
      <c r="B225" s="25">
        <f t="shared" si="3"/>
        <v>223</v>
      </c>
      <c r="C225" s="42" t="s">
        <v>215</v>
      </c>
      <c r="D225" s="60" t="s">
        <v>215</v>
      </c>
      <c r="E225" s="26" t="e">
        <f>VLOOKUP(C225,#REF!,3,0)</f>
        <v>#REF!</v>
      </c>
      <c r="F225" s="205" t="s">
        <v>1723</v>
      </c>
      <c r="G225" s="25" t="s">
        <v>1724</v>
      </c>
      <c r="H225" s="25"/>
      <c r="I225" s="35">
        <v>2</v>
      </c>
      <c r="J225" s="36" t="s">
        <v>1256</v>
      </c>
      <c r="K225" s="37"/>
      <c r="L225" s="38"/>
      <c r="M225" s="39"/>
      <c r="N225" s="44">
        <v>300</v>
      </c>
      <c r="O225" s="25" t="s">
        <v>1310</v>
      </c>
      <c r="P225" s="34" t="s">
        <v>1725</v>
      </c>
    </row>
    <row r="226" spans="2:16" ht="27.75" customHeight="1">
      <c r="B226" s="25">
        <f t="shared" si="3"/>
        <v>224</v>
      </c>
      <c r="C226" s="42" t="s">
        <v>140</v>
      </c>
      <c r="D226" s="60" t="s">
        <v>140</v>
      </c>
      <c r="E226" s="26" t="e">
        <f>VLOOKUP(C226,#REF!,3,0)</f>
        <v>#REF!</v>
      </c>
      <c r="F226" s="205" t="s">
        <v>1726</v>
      </c>
      <c r="G226" s="25" t="s">
        <v>1727</v>
      </c>
      <c r="H226" s="25"/>
      <c r="I226" s="35">
        <v>2</v>
      </c>
      <c r="J226" s="36" t="s">
        <v>1256</v>
      </c>
      <c r="K226" s="37"/>
      <c r="L226" s="38"/>
      <c r="M226" s="39"/>
      <c r="N226" s="44">
        <v>300</v>
      </c>
      <c r="O226" s="25" t="s">
        <v>1310</v>
      </c>
      <c r="P226" s="34" t="s">
        <v>1728</v>
      </c>
    </row>
    <row r="227" spans="2:16" ht="27.75" customHeight="1">
      <c r="B227" s="25">
        <f t="shared" si="3"/>
        <v>225</v>
      </c>
      <c r="C227" s="42" t="s">
        <v>285</v>
      </c>
      <c r="D227" s="60" t="s">
        <v>285</v>
      </c>
      <c r="E227" s="26" t="e">
        <f>VLOOKUP(C227,#REF!,3,0)</f>
        <v>#REF!</v>
      </c>
      <c r="F227" s="205" t="s">
        <v>1729</v>
      </c>
      <c r="G227" s="25" t="s">
        <v>1730</v>
      </c>
      <c r="H227" s="25"/>
      <c r="I227" s="35">
        <v>2</v>
      </c>
      <c r="J227" s="36" t="s">
        <v>1256</v>
      </c>
      <c r="K227" s="37"/>
      <c r="L227" s="38"/>
      <c r="M227" s="39"/>
      <c r="N227" s="44">
        <v>300</v>
      </c>
      <c r="O227" s="25" t="s">
        <v>1310</v>
      </c>
      <c r="P227" s="34" t="s">
        <v>1731</v>
      </c>
    </row>
    <row r="228" spans="2:16" ht="27.75" customHeight="1">
      <c r="B228" s="25">
        <f t="shared" si="3"/>
        <v>226</v>
      </c>
      <c r="C228" s="42" t="s">
        <v>286</v>
      </c>
      <c r="D228" s="60" t="s">
        <v>286</v>
      </c>
      <c r="E228" s="26" t="e">
        <f>VLOOKUP(C228,#REF!,3,0)</f>
        <v>#REF!</v>
      </c>
      <c r="F228" s="205" t="s">
        <v>1732</v>
      </c>
      <c r="G228" s="25" t="s">
        <v>1733</v>
      </c>
      <c r="H228" s="25"/>
      <c r="I228" s="35">
        <v>2</v>
      </c>
      <c r="J228" s="36" t="s">
        <v>1256</v>
      </c>
      <c r="K228" s="37"/>
      <c r="L228" s="38"/>
      <c r="M228" s="39"/>
      <c r="N228" s="44">
        <v>300</v>
      </c>
      <c r="O228" s="25" t="s">
        <v>1310</v>
      </c>
      <c r="P228" s="34" t="s">
        <v>1734</v>
      </c>
    </row>
    <row r="229" spans="2:16" ht="27.75" customHeight="1">
      <c r="B229" s="25">
        <f t="shared" si="3"/>
        <v>227</v>
      </c>
      <c r="C229" s="42" t="s">
        <v>345</v>
      </c>
      <c r="D229" s="60" t="s">
        <v>345</v>
      </c>
      <c r="E229" s="26" t="e">
        <f>VLOOKUP(C229,#REF!,3,0)</f>
        <v>#REF!</v>
      </c>
      <c r="F229" s="205" t="s">
        <v>1735</v>
      </c>
      <c r="G229" s="25" t="s">
        <v>1736</v>
      </c>
      <c r="H229" s="25"/>
      <c r="I229" s="35">
        <v>2</v>
      </c>
      <c r="J229" s="36" t="s">
        <v>1256</v>
      </c>
      <c r="K229" s="37"/>
      <c r="L229" s="38"/>
      <c r="M229" s="39"/>
      <c r="N229" s="44">
        <v>300</v>
      </c>
      <c r="O229" s="25" t="s">
        <v>1310</v>
      </c>
      <c r="P229" s="34" t="s">
        <v>1737</v>
      </c>
    </row>
    <row r="230" spans="2:16" ht="27.75" customHeight="1">
      <c r="B230" s="25">
        <f t="shared" si="3"/>
        <v>228</v>
      </c>
      <c r="C230" s="42" t="s">
        <v>349</v>
      </c>
      <c r="D230" s="60" t="s">
        <v>349</v>
      </c>
      <c r="E230" s="26" t="e">
        <f>VLOOKUP(C230,#REF!,3,0)</f>
        <v>#REF!</v>
      </c>
      <c r="F230" s="205" t="s">
        <v>1738</v>
      </c>
      <c r="G230" s="25" t="s">
        <v>1739</v>
      </c>
      <c r="H230" s="25"/>
      <c r="I230" s="35">
        <v>2</v>
      </c>
      <c r="J230" s="36" t="s">
        <v>1256</v>
      </c>
      <c r="K230" s="37"/>
      <c r="L230" s="38"/>
      <c r="M230" s="39"/>
      <c r="N230" s="44">
        <v>300</v>
      </c>
      <c r="O230" s="25" t="s">
        <v>1310</v>
      </c>
      <c r="P230" s="34" t="s">
        <v>1740</v>
      </c>
    </row>
    <row r="231" spans="2:16" ht="27.75" customHeight="1">
      <c r="B231" s="25">
        <f t="shared" si="3"/>
        <v>229</v>
      </c>
      <c r="C231" s="42" t="s">
        <v>911</v>
      </c>
      <c r="D231" s="60" t="s">
        <v>911</v>
      </c>
      <c r="E231" s="26" t="e">
        <f>VLOOKUP(C231,#REF!,3,0)</f>
        <v>#REF!</v>
      </c>
      <c r="F231" s="205" t="s">
        <v>1741</v>
      </c>
      <c r="G231" s="25" t="s">
        <v>1742</v>
      </c>
      <c r="H231" s="25"/>
      <c r="I231" s="35">
        <v>2</v>
      </c>
      <c r="J231" s="36" t="s">
        <v>1256</v>
      </c>
      <c r="K231" s="37"/>
      <c r="L231" s="38"/>
      <c r="M231" s="39"/>
      <c r="N231" s="44">
        <v>300</v>
      </c>
      <c r="O231" s="25" t="s">
        <v>1310</v>
      </c>
      <c r="P231" s="34" t="s">
        <v>1743</v>
      </c>
    </row>
    <row r="232" spans="2:16" ht="27.75" customHeight="1">
      <c r="B232" s="25">
        <f t="shared" si="3"/>
        <v>230</v>
      </c>
      <c r="C232" s="42" t="s">
        <v>912</v>
      </c>
      <c r="D232" s="60" t="s">
        <v>912</v>
      </c>
      <c r="E232" s="26" t="e">
        <f>VLOOKUP(C232,#REF!,3,0)</f>
        <v>#REF!</v>
      </c>
      <c r="F232" s="205" t="s">
        <v>1744</v>
      </c>
      <c r="G232" s="25" t="s">
        <v>1745</v>
      </c>
      <c r="H232" s="25"/>
      <c r="I232" s="35">
        <v>2</v>
      </c>
      <c r="J232" s="36" t="s">
        <v>1256</v>
      </c>
      <c r="K232" s="37"/>
      <c r="L232" s="38"/>
      <c r="M232" s="39"/>
      <c r="N232" s="44">
        <v>300</v>
      </c>
      <c r="O232" s="25" t="s">
        <v>1310</v>
      </c>
      <c r="P232" s="34" t="s">
        <v>1746</v>
      </c>
    </row>
    <row r="233" spans="2:16" ht="27.75" customHeight="1">
      <c r="B233" s="25">
        <f t="shared" si="3"/>
        <v>231</v>
      </c>
      <c r="C233" s="42" t="s">
        <v>913</v>
      </c>
      <c r="D233" s="60" t="s">
        <v>913</v>
      </c>
      <c r="E233" s="26" t="e">
        <f>VLOOKUP(C233,#REF!,3,0)</f>
        <v>#REF!</v>
      </c>
      <c r="F233" s="205" t="s">
        <v>1747</v>
      </c>
      <c r="G233" s="25" t="s">
        <v>1748</v>
      </c>
      <c r="H233" s="25"/>
      <c r="I233" s="35">
        <v>2</v>
      </c>
      <c r="J233" s="36" t="s">
        <v>1256</v>
      </c>
      <c r="K233" s="37"/>
      <c r="L233" s="38"/>
      <c r="M233" s="39"/>
      <c r="N233" s="44">
        <v>300</v>
      </c>
      <c r="O233" s="25" t="s">
        <v>1310</v>
      </c>
      <c r="P233" s="34" t="s">
        <v>1746</v>
      </c>
    </row>
    <row r="234" spans="2:16" ht="27.75" customHeight="1">
      <c r="B234" s="25">
        <f t="shared" si="3"/>
        <v>232</v>
      </c>
      <c r="C234" s="42" t="s">
        <v>350</v>
      </c>
      <c r="D234" s="60" t="s">
        <v>350</v>
      </c>
      <c r="E234" s="26" t="e">
        <f>VLOOKUP(C234,#REF!,3,0)</f>
        <v>#REF!</v>
      </c>
      <c r="F234" s="205" t="s">
        <v>1749</v>
      </c>
      <c r="G234" s="25" t="s">
        <v>1750</v>
      </c>
      <c r="H234" s="25"/>
      <c r="I234" s="35">
        <v>2</v>
      </c>
      <c r="J234" s="36" t="s">
        <v>1256</v>
      </c>
      <c r="K234" s="37"/>
      <c r="L234" s="38"/>
      <c r="M234" s="39"/>
      <c r="N234" s="44">
        <v>300</v>
      </c>
      <c r="O234" s="25" t="s">
        <v>1310</v>
      </c>
      <c r="P234" s="34" t="s">
        <v>1751</v>
      </c>
    </row>
    <row r="235" spans="2:16" ht="27.75" customHeight="1">
      <c r="B235" s="25">
        <f t="shared" si="3"/>
        <v>233</v>
      </c>
      <c r="C235" s="42" t="s">
        <v>289</v>
      </c>
      <c r="D235" s="60" t="s">
        <v>289</v>
      </c>
      <c r="E235" s="26" t="e">
        <f>VLOOKUP(C235,#REF!,3,0)</f>
        <v>#REF!</v>
      </c>
      <c r="F235" s="205" t="s">
        <v>1752</v>
      </c>
      <c r="G235" s="25" t="s">
        <v>1753</v>
      </c>
      <c r="H235" s="25"/>
      <c r="I235" s="35">
        <v>2</v>
      </c>
      <c r="J235" s="36" t="s">
        <v>1256</v>
      </c>
      <c r="K235" s="37"/>
      <c r="L235" s="38"/>
      <c r="M235" s="39"/>
      <c r="N235" s="44">
        <v>300</v>
      </c>
      <c r="O235" s="25" t="s">
        <v>1310</v>
      </c>
      <c r="P235" s="34" t="s">
        <v>1740</v>
      </c>
    </row>
    <row r="236" spans="2:16" ht="27.75" customHeight="1">
      <c r="B236" s="25">
        <f t="shared" si="3"/>
        <v>234</v>
      </c>
      <c r="C236" s="42" t="s">
        <v>351</v>
      </c>
      <c r="D236" s="60" t="s">
        <v>351</v>
      </c>
      <c r="E236" s="26" t="e">
        <f>VLOOKUP(C236,#REF!,3,0)</f>
        <v>#REF!</v>
      </c>
      <c r="F236" s="205" t="s">
        <v>1754</v>
      </c>
      <c r="G236" s="25" t="s">
        <v>1755</v>
      </c>
      <c r="H236" s="25"/>
      <c r="I236" s="35">
        <v>2</v>
      </c>
      <c r="J236" s="36" t="s">
        <v>1256</v>
      </c>
      <c r="K236" s="37"/>
      <c r="L236" s="38"/>
      <c r="M236" s="39"/>
      <c r="N236" s="44">
        <v>300</v>
      </c>
      <c r="O236" s="25" t="s">
        <v>1310</v>
      </c>
      <c r="P236" s="34" t="s">
        <v>1756</v>
      </c>
    </row>
    <row r="237" spans="2:16" ht="27.75" customHeight="1">
      <c r="B237" s="25">
        <f t="shared" si="3"/>
        <v>235</v>
      </c>
      <c r="C237" s="42" t="s">
        <v>1094</v>
      </c>
      <c r="D237" s="60" t="s">
        <v>1094</v>
      </c>
      <c r="E237" s="26" t="e">
        <f>VLOOKUP(C237,#REF!,3,0)</f>
        <v>#REF!</v>
      </c>
      <c r="F237" s="205" t="s">
        <v>1757</v>
      </c>
      <c r="G237" s="61" t="s">
        <v>1758</v>
      </c>
      <c r="H237" s="61"/>
      <c r="I237" s="35">
        <v>2</v>
      </c>
      <c r="J237" s="36" t="s">
        <v>1256</v>
      </c>
      <c r="K237" s="37"/>
      <c r="L237" s="38"/>
      <c r="M237" s="39"/>
      <c r="N237" s="44">
        <v>300</v>
      </c>
      <c r="O237" s="25" t="s">
        <v>1310</v>
      </c>
      <c r="P237" s="34" t="s">
        <v>1759</v>
      </c>
    </row>
    <row r="238" spans="2:16" ht="27.75" customHeight="1">
      <c r="B238" s="25">
        <f t="shared" si="3"/>
        <v>236</v>
      </c>
      <c r="C238" s="42" t="s">
        <v>352</v>
      </c>
      <c r="D238" s="60" t="s">
        <v>352</v>
      </c>
      <c r="E238" s="26" t="e">
        <f>VLOOKUP(C238,#REF!,3,0)</f>
        <v>#REF!</v>
      </c>
      <c r="F238" s="205" t="s">
        <v>1760</v>
      </c>
      <c r="G238" s="25" t="s">
        <v>1755</v>
      </c>
      <c r="H238" s="25"/>
      <c r="I238" s="35">
        <v>2</v>
      </c>
      <c r="J238" s="36"/>
      <c r="K238" s="37"/>
      <c r="L238" s="38"/>
      <c r="M238" s="39" t="s">
        <v>1250</v>
      </c>
      <c r="N238" s="44">
        <v>300</v>
      </c>
      <c r="O238" s="25" t="s">
        <v>1310</v>
      </c>
      <c r="P238" s="34" t="s">
        <v>1761</v>
      </c>
    </row>
    <row r="239" spans="2:16" ht="27.75" customHeight="1">
      <c r="B239" s="25">
        <f t="shared" si="3"/>
        <v>237</v>
      </c>
      <c r="C239" s="42" t="s">
        <v>353</v>
      </c>
      <c r="D239" s="60" t="s">
        <v>353</v>
      </c>
      <c r="E239" s="26" t="e">
        <f>VLOOKUP(C239,#REF!,3,0)</f>
        <v>#REF!</v>
      </c>
      <c r="F239" s="205" t="s">
        <v>1762</v>
      </c>
      <c r="G239" s="25" t="s">
        <v>1755</v>
      </c>
      <c r="H239" s="25"/>
      <c r="I239" s="35">
        <v>2</v>
      </c>
      <c r="J239" s="36" t="s">
        <v>1256</v>
      </c>
      <c r="K239" s="37"/>
      <c r="L239" s="38"/>
      <c r="M239" s="39"/>
      <c r="N239" s="44">
        <v>300</v>
      </c>
      <c r="O239" s="25" t="s">
        <v>1310</v>
      </c>
      <c r="P239" s="34" t="s">
        <v>1763</v>
      </c>
    </row>
    <row r="240" spans="2:16" ht="27.75" customHeight="1">
      <c r="B240" s="25">
        <f t="shared" si="3"/>
        <v>238</v>
      </c>
      <c r="C240" s="42" t="s">
        <v>346</v>
      </c>
      <c r="D240" s="60" t="s">
        <v>346</v>
      </c>
      <c r="E240" s="26" t="e">
        <f>VLOOKUP(C240,#REF!,3,0)</f>
        <v>#REF!</v>
      </c>
      <c r="F240" s="205" t="s">
        <v>1764</v>
      </c>
      <c r="G240" s="25" t="s">
        <v>1765</v>
      </c>
      <c r="H240" s="25"/>
      <c r="I240" s="35">
        <v>2</v>
      </c>
      <c r="J240" s="36" t="s">
        <v>1256</v>
      </c>
      <c r="K240" s="37"/>
      <c r="L240" s="38"/>
      <c r="M240" s="39"/>
      <c r="N240" s="44">
        <v>300</v>
      </c>
      <c r="O240" s="25" t="s">
        <v>1310</v>
      </c>
      <c r="P240" s="34" t="s">
        <v>1766</v>
      </c>
    </row>
    <row r="241" spans="2:16" ht="27.75" customHeight="1">
      <c r="B241" s="25">
        <f t="shared" si="3"/>
        <v>239</v>
      </c>
      <c r="C241" s="42" t="s">
        <v>347</v>
      </c>
      <c r="D241" s="60" t="s">
        <v>347</v>
      </c>
      <c r="E241" s="26" t="e">
        <f>VLOOKUP(C241,#REF!,3,0)</f>
        <v>#REF!</v>
      </c>
      <c r="F241" s="205" t="s">
        <v>1767</v>
      </c>
      <c r="G241" s="25" t="s">
        <v>1768</v>
      </c>
      <c r="H241" s="25"/>
      <c r="I241" s="35">
        <v>2</v>
      </c>
      <c r="J241" s="36" t="s">
        <v>1256</v>
      </c>
      <c r="K241" s="37"/>
      <c r="L241" s="38"/>
      <c r="M241" s="39"/>
      <c r="N241" s="44">
        <v>300</v>
      </c>
      <c r="O241" s="25" t="s">
        <v>1310</v>
      </c>
      <c r="P241" s="34" t="s">
        <v>1769</v>
      </c>
    </row>
    <row r="242" spans="2:16" ht="27.75" customHeight="1">
      <c r="B242" s="25">
        <f t="shared" si="3"/>
        <v>240</v>
      </c>
      <c r="C242" s="42" t="s">
        <v>348</v>
      </c>
      <c r="D242" s="60" t="s">
        <v>348</v>
      </c>
      <c r="E242" s="26" t="e">
        <f>VLOOKUP(C242,#REF!,3,0)</f>
        <v>#REF!</v>
      </c>
      <c r="F242" s="205" t="s">
        <v>1770</v>
      </c>
      <c r="G242" s="25" t="s">
        <v>1771</v>
      </c>
      <c r="H242" s="25"/>
      <c r="I242" s="35">
        <v>2</v>
      </c>
      <c r="J242" s="36" t="s">
        <v>1256</v>
      </c>
      <c r="K242" s="37"/>
      <c r="L242" s="38"/>
      <c r="M242" s="39"/>
      <c r="N242" s="44">
        <v>300</v>
      </c>
      <c r="O242" s="25" t="s">
        <v>1310</v>
      </c>
      <c r="P242" s="34" t="s">
        <v>1665</v>
      </c>
    </row>
    <row r="243" spans="2:16" ht="27.75" customHeight="1">
      <c r="B243" s="25">
        <f t="shared" si="3"/>
        <v>241</v>
      </c>
      <c r="C243" s="42" t="s">
        <v>851</v>
      </c>
      <c r="D243" s="60" t="s">
        <v>851</v>
      </c>
      <c r="E243" s="26" t="e">
        <f>VLOOKUP(C243,#REF!,3,0)</f>
        <v>#REF!</v>
      </c>
      <c r="F243" s="205" t="s">
        <v>1772</v>
      </c>
      <c r="G243" s="25" t="s">
        <v>1773</v>
      </c>
      <c r="H243" s="25"/>
      <c r="I243" s="35">
        <v>4</v>
      </c>
      <c r="J243" s="36" t="s">
        <v>1256</v>
      </c>
      <c r="K243" s="37"/>
      <c r="L243" s="38"/>
      <c r="M243" s="39"/>
      <c r="N243" s="44">
        <v>1000</v>
      </c>
      <c r="O243" s="25" t="s">
        <v>1310</v>
      </c>
      <c r="P243" s="34" t="s">
        <v>1774</v>
      </c>
    </row>
    <row r="244" spans="2:16" ht="27.75" customHeight="1">
      <c r="B244" s="25">
        <f t="shared" si="3"/>
        <v>242</v>
      </c>
      <c r="C244" s="42" t="s">
        <v>1072</v>
      </c>
      <c r="D244" s="60" t="s">
        <v>1072</v>
      </c>
      <c r="E244" s="26" t="e">
        <f>VLOOKUP(C244,#REF!,3,0)</f>
        <v>#REF!</v>
      </c>
      <c r="F244" s="205" t="s">
        <v>1775</v>
      </c>
      <c r="G244" s="25" t="s">
        <v>1776</v>
      </c>
      <c r="H244" s="25"/>
      <c r="I244" s="35">
        <v>4</v>
      </c>
      <c r="J244" s="36" t="s">
        <v>1256</v>
      </c>
      <c r="K244" s="37"/>
      <c r="L244" s="38"/>
      <c r="M244" s="39"/>
      <c r="N244" s="44">
        <v>1000</v>
      </c>
      <c r="O244" s="25" t="s">
        <v>1310</v>
      </c>
      <c r="P244" s="34" t="s">
        <v>1777</v>
      </c>
    </row>
    <row r="245" spans="2:16" ht="28.15" customHeight="1">
      <c r="B245" s="25">
        <f t="shared" si="3"/>
        <v>243</v>
      </c>
      <c r="C245" s="42" t="s">
        <v>332</v>
      </c>
      <c r="D245" s="60" t="s">
        <v>332</v>
      </c>
      <c r="E245" s="26" t="e">
        <f>VLOOKUP(C245,#REF!,3,0)</f>
        <v>#REF!</v>
      </c>
      <c r="F245" s="205" t="s">
        <v>1778</v>
      </c>
      <c r="G245" s="25" t="s">
        <v>1779</v>
      </c>
      <c r="H245" s="25"/>
      <c r="I245" s="35">
        <v>8</v>
      </c>
      <c r="J245" s="36" t="s">
        <v>1256</v>
      </c>
      <c r="K245" s="37"/>
      <c r="L245" s="38"/>
      <c r="M245" s="39"/>
      <c r="N245" s="44">
        <v>1000</v>
      </c>
      <c r="O245" s="25" t="s">
        <v>1310</v>
      </c>
      <c r="P245" s="34" t="s">
        <v>1780</v>
      </c>
    </row>
    <row r="246" spans="2:16" ht="27.75" customHeight="1">
      <c r="B246" s="25">
        <f t="shared" si="3"/>
        <v>244</v>
      </c>
      <c r="C246" s="42" t="s">
        <v>213</v>
      </c>
      <c r="D246" s="60" t="s">
        <v>213</v>
      </c>
      <c r="E246" s="26" t="e">
        <f>VLOOKUP(C246,#REF!,3,0)</f>
        <v>#REF!</v>
      </c>
      <c r="F246" s="205" t="s">
        <v>1781</v>
      </c>
      <c r="G246" s="25" t="s">
        <v>1782</v>
      </c>
      <c r="H246" s="25"/>
      <c r="I246" s="35">
        <v>8</v>
      </c>
      <c r="J246" s="36" t="s">
        <v>1256</v>
      </c>
      <c r="K246" s="37"/>
      <c r="L246" s="38"/>
      <c r="M246" s="39"/>
      <c r="N246" s="44">
        <v>1000</v>
      </c>
      <c r="O246" s="25" t="s">
        <v>1310</v>
      </c>
      <c r="P246" s="34" t="s">
        <v>1783</v>
      </c>
    </row>
    <row r="247" spans="2:16" ht="27.75" customHeight="1">
      <c r="B247" s="25">
        <f t="shared" si="3"/>
        <v>245</v>
      </c>
      <c r="C247" s="42" t="s">
        <v>211</v>
      </c>
      <c r="D247" s="60" t="s">
        <v>211</v>
      </c>
      <c r="E247" s="26" t="e">
        <f>VLOOKUP(C247,#REF!,3,0)</f>
        <v>#REF!</v>
      </c>
      <c r="F247" s="205" t="s">
        <v>1784</v>
      </c>
      <c r="G247" s="25" t="s">
        <v>1785</v>
      </c>
      <c r="H247" s="25"/>
      <c r="I247" s="35">
        <v>4</v>
      </c>
      <c r="J247" s="36" t="s">
        <v>1256</v>
      </c>
      <c r="K247" s="37"/>
      <c r="L247" s="38"/>
      <c r="M247" s="39"/>
      <c r="N247" s="44">
        <v>1000</v>
      </c>
      <c r="O247" s="25" t="s">
        <v>1310</v>
      </c>
      <c r="P247" s="34" t="s">
        <v>1786</v>
      </c>
    </row>
    <row r="248" spans="2:16" ht="27.75" customHeight="1">
      <c r="B248" s="25">
        <f t="shared" si="3"/>
        <v>246</v>
      </c>
      <c r="C248" s="42" t="s">
        <v>927</v>
      </c>
      <c r="D248" s="60" t="s">
        <v>927</v>
      </c>
      <c r="E248" s="26" t="e">
        <f>VLOOKUP(C248,#REF!,3,0)</f>
        <v>#REF!</v>
      </c>
      <c r="F248" s="205" t="s">
        <v>1787</v>
      </c>
      <c r="G248" s="61" t="s">
        <v>1788</v>
      </c>
      <c r="H248" s="61"/>
      <c r="I248" s="35">
        <v>4</v>
      </c>
      <c r="J248" s="36" t="s">
        <v>1256</v>
      </c>
      <c r="K248" s="37"/>
      <c r="L248" s="38"/>
      <c r="M248" s="39"/>
      <c r="N248" s="44">
        <v>1000</v>
      </c>
      <c r="O248" s="25" t="s">
        <v>1310</v>
      </c>
      <c r="P248" s="34" t="s">
        <v>1789</v>
      </c>
    </row>
    <row r="249" spans="2:16" ht="27.75" customHeight="1">
      <c r="B249" s="25"/>
      <c r="C249" s="42" t="s">
        <v>928</v>
      </c>
      <c r="D249" s="60" t="s">
        <v>927</v>
      </c>
      <c r="E249" s="26" t="e">
        <f>VLOOKUP(C249,#REF!,3,0)</f>
        <v>#REF!</v>
      </c>
      <c r="F249" s="205" t="s">
        <v>1787</v>
      </c>
      <c r="G249" s="61" t="s">
        <v>1788</v>
      </c>
      <c r="H249" s="61"/>
      <c r="I249" s="35">
        <v>4</v>
      </c>
      <c r="J249" s="36" t="s">
        <v>1256</v>
      </c>
      <c r="K249" s="37"/>
      <c r="L249" s="38"/>
      <c r="M249" s="39"/>
      <c r="N249" s="44"/>
      <c r="O249" s="25"/>
      <c r="P249" s="34"/>
    </row>
    <row r="250" spans="2:16" ht="27.75" customHeight="1">
      <c r="B250" s="25">
        <f>B248+1</f>
        <v>247</v>
      </c>
      <c r="C250" s="42" t="s">
        <v>852</v>
      </c>
      <c r="D250" s="60" t="s">
        <v>852</v>
      </c>
      <c r="E250" s="26" t="e">
        <f>VLOOKUP(C250,#REF!,3,0)</f>
        <v>#REF!</v>
      </c>
      <c r="F250" s="205" t="s">
        <v>1790</v>
      </c>
      <c r="G250" s="25" t="s">
        <v>1773</v>
      </c>
      <c r="H250" s="25"/>
      <c r="I250" s="35">
        <v>4</v>
      </c>
      <c r="J250" s="36"/>
      <c r="K250" s="37"/>
      <c r="L250" s="38"/>
      <c r="M250" s="39" t="s">
        <v>1250</v>
      </c>
      <c r="N250" s="44">
        <v>1000</v>
      </c>
      <c r="O250" s="25" t="s">
        <v>1310</v>
      </c>
      <c r="P250" s="34" t="s">
        <v>1791</v>
      </c>
    </row>
    <row r="251" spans="2:16" ht="27.75" customHeight="1">
      <c r="B251" s="25">
        <f t="shared" si="3"/>
        <v>248</v>
      </c>
      <c r="C251" s="42" t="s">
        <v>197</v>
      </c>
      <c r="D251" s="60" t="s">
        <v>197</v>
      </c>
      <c r="E251" s="26" t="e">
        <f>VLOOKUP(C251,#REF!,3,0)</f>
        <v>#REF!</v>
      </c>
      <c r="F251" s="205" t="s">
        <v>1792</v>
      </c>
      <c r="G251" s="25" t="s">
        <v>1793</v>
      </c>
      <c r="H251" s="25"/>
      <c r="I251" s="35">
        <v>4</v>
      </c>
      <c r="J251" s="36"/>
      <c r="K251" s="37"/>
      <c r="L251" s="38"/>
      <c r="M251" s="39" t="s">
        <v>1250</v>
      </c>
      <c r="N251" s="44">
        <v>1000</v>
      </c>
      <c r="O251" s="25" t="s">
        <v>1310</v>
      </c>
      <c r="P251" s="34" t="s">
        <v>1794</v>
      </c>
    </row>
    <row r="252" spans="2:16" ht="27.75" customHeight="1">
      <c r="B252" s="25">
        <f t="shared" si="3"/>
        <v>249</v>
      </c>
      <c r="C252" s="42" t="s">
        <v>214</v>
      </c>
      <c r="D252" s="60" t="s">
        <v>214</v>
      </c>
      <c r="E252" s="26" t="e">
        <f>VLOOKUP(C252,#REF!,3,0)</f>
        <v>#REF!</v>
      </c>
      <c r="F252" s="205" t="s">
        <v>1795</v>
      </c>
      <c r="G252" s="25" t="s">
        <v>1796</v>
      </c>
      <c r="H252" s="25"/>
      <c r="I252" s="35">
        <v>2</v>
      </c>
      <c r="J252" s="36"/>
      <c r="K252" s="37"/>
      <c r="L252" s="38"/>
      <c r="M252" s="39" t="s">
        <v>1250</v>
      </c>
      <c r="N252" s="44">
        <v>1000</v>
      </c>
      <c r="O252" s="25" t="s">
        <v>1310</v>
      </c>
      <c r="P252" s="34" t="s">
        <v>1797</v>
      </c>
    </row>
    <row r="253" spans="2:16" ht="27.75" customHeight="1">
      <c r="B253" s="25">
        <f t="shared" si="3"/>
        <v>250</v>
      </c>
      <c r="C253" s="42" t="s">
        <v>930</v>
      </c>
      <c r="D253" s="60" t="s">
        <v>930</v>
      </c>
      <c r="E253" s="26" t="e">
        <f>VLOOKUP(C253,#REF!,3,0)</f>
        <v>#REF!</v>
      </c>
      <c r="F253" s="205" t="s">
        <v>1798</v>
      </c>
      <c r="G253" s="25" t="s">
        <v>1799</v>
      </c>
      <c r="H253" s="25" t="s">
        <v>1215</v>
      </c>
      <c r="I253" s="35">
        <v>8</v>
      </c>
      <c r="J253" s="36"/>
      <c r="K253" s="37"/>
      <c r="L253" s="38"/>
      <c r="M253" s="39" t="s">
        <v>1250</v>
      </c>
      <c r="N253" s="44">
        <v>800</v>
      </c>
      <c r="O253" s="25" t="s">
        <v>1800</v>
      </c>
      <c r="P253" s="34" t="s">
        <v>1801</v>
      </c>
    </row>
    <row r="254" spans="2:16" ht="27.75" customHeight="1">
      <c r="B254" s="25">
        <f t="shared" si="3"/>
        <v>251</v>
      </c>
      <c r="C254" s="42" t="s">
        <v>1015</v>
      </c>
      <c r="D254" s="60" t="s">
        <v>1015</v>
      </c>
      <c r="E254" s="26" t="e">
        <f>VLOOKUP(C254,#REF!,3,0)</f>
        <v>#REF!</v>
      </c>
      <c r="F254" s="205" t="s">
        <v>1802</v>
      </c>
      <c r="G254" s="25" t="s">
        <v>1803</v>
      </c>
      <c r="H254" s="25" t="s">
        <v>1215</v>
      </c>
      <c r="I254" s="35">
        <v>4</v>
      </c>
      <c r="J254" s="36" t="s">
        <v>1256</v>
      </c>
      <c r="K254" s="37"/>
      <c r="L254" s="38"/>
      <c r="M254" s="39"/>
      <c r="N254" s="44">
        <v>800</v>
      </c>
      <c r="O254" s="25" t="s">
        <v>1800</v>
      </c>
      <c r="P254" s="34" t="s">
        <v>1804</v>
      </c>
    </row>
    <row r="255" spans="2:16" ht="30" customHeight="1">
      <c r="B255" s="25">
        <f t="shared" si="3"/>
        <v>252</v>
      </c>
      <c r="C255" s="42" t="s">
        <v>1043</v>
      </c>
      <c r="D255" s="60" t="s">
        <v>1043</v>
      </c>
      <c r="E255" s="26" t="e">
        <f>VLOOKUP(C255,#REF!,3,0)</f>
        <v>#REF!</v>
      </c>
      <c r="F255" s="205" t="s">
        <v>1805</v>
      </c>
      <c r="G255" s="25" t="s">
        <v>1806</v>
      </c>
      <c r="H255" s="25" t="s">
        <v>1215</v>
      </c>
      <c r="I255" s="35">
        <v>4</v>
      </c>
      <c r="J255" s="36" t="s">
        <v>1256</v>
      </c>
      <c r="K255" s="37"/>
      <c r="L255" s="38"/>
      <c r="M255" s="39"/>
      <c r="N255" s="44">
        <v>800</v>
      </c>
      <c r="O255" s="25" t="s">
        <v>1800</v>
      </c>
      <c r="P255" s="34" t="s">
        <v>1807</v>
      </c>
    </row>
    <row r="256" spans="2:16" ht="27.75" customHeight="1">
      <c r="B256" s="25">
        <f t="shared" si="3"/>
        <v>253</v>
      </c>
      <c r="C256" s="42" t="s">
        <v>673</v>
      </c>
      <c r="D256" s="60" t="s">
        <v>673</v>
      </c>
      <c r="E256" s="26" t="e">
        <f>VLOOKUP(C256,#REF!,3,0)</f>
        <v>#REF!</v>
      </c>
      <c r="F256" s="205" t="s">
        <v>1808</v>
      </c>
      <c r="G256" s="25" t="s">
        <v>1809</v>
      </c>
      <c r="H256" s="25" t="s">
        <v>1215</v>
      </c>
      <c r="I256" s="35">
        <v>4</v>
      </c>
      <c r="J256" s="36" t="s">
        <v>1256</v>
      </c>
      <c r="K256" s="37"/>
      <c r="L256" s="38"/>
      <c r="M256" s="39"/>
      <c r="N256" s="44">
        <v>800</v>
      </c>
      <c r="O256" s="25" t="s">
        <v>1800</v>
      </c>
      <c r="P256" s="34" t="s">
        <v>1810</v>
      </c>
    </row>
    <row r="257" spans="2:16" ht="27.75" customHeight="1">
      <c r="B257" s="25">
        <f t="shared" si="3"/>
        <v>254</v>
      </c>
      <c r="C257" s="42" t="s">
        <v>1011</v>
      </c>
      <c r="D257" s="60" t="s">
        <v>1011</v>
      </c>
      <c r="E257" s="26" t="e">
        <f>VLOOKUP(C257,#REF!,3,0)</f>
        <v>#REF!</v>
      </c>
      <c r="F257" s="205" t="s">
        <v>1811</v>
      </c>
      <c r="G257" s="25" t="s">
        <v>1803</v>
      </c>
      <c r="H257" s="25" t="s">
        <v>1215</v>
      </c>
      <c r="I257" s="35">
        <v>4</v>
      </c>
      <c r="J257" s="36" t="s">
        <v>1256</v>
      </c>
      <c r="K257" s="37"/>
      <c r="L257" s="38"/>
      <c r="M257" s="39"/>
      <c r="N257" s="44">
        <v>800</v>
      </c>
      <c r="O257" s="25" t="s">
        <v>1800</v>
      </c>
      <c r="P257" s="34" t="s">
        <v>1812</v>
      </c>
    </row>
    <row r="258" spans="2:16" ht="27.75" customHeight="1">
      <c r="B258" s="25">
        <f t="shared" si="3"/>
        <v>255</v>
      </c>
      <c r="C258" s="42" t="s">
        <v>1012</v>
      </c>
      <c r="D258" s="60" t="s">
        <v>1012</v>
      </c>
      <c r="E258" s="26" t="e">
        <f>VLOOKUP(C258,#REF!,3,0)</f>
        <v>#REF!</v>
      </c>
      <c r="F258" s="205" t="s">
        <v>1813</v>
      </c>
      <c r="G258" s="25" t="s">
        <v>1803</v>
      </c>
      <c r="H258" s="25" t="s">
        <v>1215</v>
      </c>
      <c r="I258" s="35">
        <v>4</v>
      </c>
      <c r="J258" s="36" t="s">
        <v>1256</v>
      </c>
      <c r="K258" s="37"/>
      <c r="L258" s="38"/>
      <c r="M258" s="39"/>
      <c r="N258" s="44">
        <v>800</v>
      </c>
      <c r="O258" s="25" t="s">
        <v>1800</v>
      </c>
      <c r="P258" s="34" t="s">
        <v>1804</v>
      </c>
    </row>
    <row r="259" spans="2:16" ht="27.75" customHeight="1">
      <c r="B259" s="25">
        <f t="shared" si="3"/>
        <v>256</v>
      </c>
      <c r="C259" s="42" t="s">
        <v>1044</v>
      </c>
      <c r="D259" s="60" t="s">
        <v>1044</v>
      </c>
      <c r="E259" s="26" t="e">
        <f>VLOOKUP(C259,#REF!,3,0)</f>
        <v>#REF!</v>
      </c>
      <c r="F259" s="205" t="s">
        <v>1814</v>
      </c>
      <c r="G259" s="25" t="s">
        <v>1806</v>
      </c>
      <c r="H259" s="25" t="s">
        <v>1215</v>
      </c>
      <c r="I259" s="35">
        <v>4</v>
      </c>
      <c r="J259" s="36" t="s">
        <v>1256</v>
      </c>
      <c r="K259" s="37"/>
      <c r="L259" s="38"/>
      <c r="M259" s="39"/>
      <c r="N259" s="44">
        <v>800</v>
      </c>
      <c r="O259" s="25" t="s">
        <v>1800</v>
      </c>
      <c r="P259" s="34" t="s">
        <v>1807</v>
      </c>
    </row>
    <row r="260" spans="2:16" ht="27.75" customHeight="1">
      <c r="B260" s="25">
        <f t="shared" si="3"/>
        <v>257</v>
      </c>
      <c r="C260" s="42" t="s">
        <v>1013</v>
      </c>
      <c r="D260" s="60" t="s">
        <v>1013</v>
      </c>
      <c r="E260" s="26" t="e">
        <f>VLOOKUP(C260,#REF!,3,0)</f>
        <v>#REF!</v>
      </c>
      <c r="F260" s="205" t="s">
        <v>1815</v>
      </c>
      <c r="G260" s="25" t="s">
        <v>1803</v>
      </c>
      <c r="H260" s="25" t="s">
        <v>1215</v>
      </c>
      <c r="I260" s="35">
        <v>4</v>
      </c>
      <c r="J260" s="36" t="s">
        <v>1256</v>
      </c>
      <c r="K260" s="37"/>
      <c r="L260" s="38"/>
      <c r="M260" s="39"/>
      <c r="N260" s="44">
        <v>800</v>
      </c>
      <c r="O260" s="25" t="s">
        <v>1800</v>
      </c>
      <c r="P260" s="34" t="s">
        <v>1812</v>
      </c>
    </row>
    <row r="261" spans="2:16" ht="27.75" customHeight="1">
      <c r="B261" s="25">
        <f t="shared" si="3"/>
        <v>258</v>
      </c>
      <c r="C261" s="42" t="s">
        <v>1014</v>
      </c>
      <c r="D261" s="60" t="s">
        <v>1014</v>
      </c>
      <c r="E261" s="26" t="e">
        <f>VLOOKUP(C261,#REF!,3,0)</f>
        <v>#REF!</v>
      </c>
      <c r="F261" s="205" t="s">
        <v>1816</v>
      </c>
      <c r="G261" s="25" t="s">
        <v>1803</v>
      </c>
      <c r="H261" s="25" t="s">
        <v>1215</v>
      </c>
      <c r="I261" s="35">
        <v>4</v>
      </c>
      <c r="J261" s="36" t="s">
        <v>1256</v>
      </c>
      <c r="K261" s="37"/>
      <c r="L261" s="38"/>
      <c r="M261" s="39"/>
      <c r="N261" s="44">
        <v>800</v>
      </c>
      <c r="O261" s="25" t="s">
        <v>1800</v>
      </c>
      <c r="P261" s="34" t="s">
        <v>1817</v>
      </c>
    </row>
    <row r="262" spans="2:16" ht="27.75" customHeight="1">
      <c r="B262" s="25">
        <f t="shared" si="3"/>
        <v>259</v>
      </c>
      <c r="C262" s="42" t="s">
        <v>674</v>
      </c>
      <c r="D262" s="60" t="s">
        <v>674</v>
      </c>
      <c r="E262" s="26" t="e">
        <f>VLOOKUP(C262,#REF!,3,0)</f>
        <v>#REF!</v>
      </c>
      <c r="F262" s="205" t="s">
        <v>1818</v>
      </c>
      <c r="G262" s="25" t="s">
        <v>1809</v>
      </c>
      <c r="H262" s="25" t="s">
        <v>1215</v>
      </c>
      <c r="I262" s="35">
        <v>4</v>
      </c>
      <c r="J262" s="36"/>
      <c r="K262" s="37"/>
      <c r="L262" s="38"/>
      <c r="M262" s="39" t="s">
        <v>1250</v>
      </c>
      <c r="N262" s="44">
        <v>800</v>
      </c>
      <c r="O262" s="25" t="s">
        <v>1800</v>
      </c>
      <c r="P262" s="34" t="s">
        <v>1819</v>
      </c>
    </row>
    <row r="263" spans="2:16" ht="27.75" customHeight="1">
      <c r="B263" s="25">
        <f t="shared" ref="B263:B326" si="4">B262+1</f>
        <v>260</v>
      </c>
      <c r="C263" s="42" t="s">
        <v>675</v>
      </c>
      <c r="D263" s="60" t="s">
        <v>675</v>
      </c>
      <c r="E263" s="26" t="e">
        <f>VLOOKUP(C263,#REF!,3,0)</f>
        <v>#REF!</v>
      </c>
      <c r="F263" s="205" t="s">
        <v>1820</v>
      </c>
      <c r="G263" s="25" t="s">
        <v>1809</v>
      </c>
      <c r="H263" s="25" t="s">
        <v>1215</v>
      </c>
      <c r="I263" s="35">
        <v>4</v>
      </c>
      <c r="J263" s="36"/>
      <c r="K263" s="37"/>
      <c r="L263" s="38"/>
      <c r="M263" s="39"/>
      <c r="N263" s="44">
        <v>800</v>
      </c>
      <c r="O263" s="25" t="s">
        <v>1800</v>
      </c>
      <c r="P263" s="34" t="s">
        <v>1821</v>
      </c>
    </row>
    <row r="264" spans="2:16" ht="27.75" customHeight="1">
      <c r="B264" s="25">
        <f t="shared" si="4"/>
        <v>261</v>
      </c>
      <c r="C264" s="42" t="s">
        <v>676</v>
      </c>
      <c r="D264" s="60" t="s">
        <v>676</v>
      </c>
      <c r="E264" s="26" t="e">
        <f>VLOOKUP(C264,#REF!,3,0)</f>
        <v>#REF!</v>
      </c>
      <c r="F264" s="205" t="s">
        <v>1822</v>
      </c>
      <c r="G264" s="25" t="s">
        <v>1809</v>
      </c>
      <c r="H264" s="25" t="s">
        <v>1215</v>
      </c>
      <c r="I264" s="35">
        <v>4</v>
      </c>
      <c r="J264" s="36" t="s">
        <v>1256</v>
      </c>
      <c r="K264" s="37"/>
      <c r="L264" s="38"/>
      <c r="M264" s="39" t="s">
        <v>1250</v>
      </c>
      <c r="N264" s="44">
        <v>800</v>
      </c>
      <c r="O264" s="25" t="s">
        <v>1800</v>
      </c>
      <c r="P264" s="34" t="s">
        <v>1821</v>
      </c>
    </row>
    <row r="265" spans="2:16" ht="27.75" customHeight="1">
      <c r="B265" s="25">
        <f t="shared" si="4"/>
        <v>262</v>
      </c>
      <c r="C265" s="42" t="s">
        <v>677</v>
      </c>
      <c r="D265" s="60" t="s">
        <v>677</v>
      </c>
      <c r="E265" s="26" t="e">
        <f>VLOOKUP(C265,#REF!,3,0)</f>
        <v>#REF!</v>
      </c>
      <c r="F265" s="205" t="s">
        <v>1823</v>
      </c>
      <c r="G265" s="25" t="s">
        <v>1809</v>
      </c>
      <c r="H265" s="25" t="s">
        <v>1215</v>
      </c>
      <c r="I265" s="35">
        <v>4</v>
      </c>
      <c r="J265" s="36" t="s">
        <v>1256</v>
      </c>
      <c r="K265" s="37"/>
      <c r="L265" s="38"/>
      <c r="M265" s="39"/>
      <c r="N265" s="44">
        <v>800</v>
      </c>
      <c r="O265" s="25" t="s">
        <v>1800</v>
      </c>
      <c r="P265" s="34" t="s">
        <v>1824</v>
      </c>
    </row>
    <row r="266" spans="2:16" ht="27.75" customHeight="1">
      <c r="B266" s="25">
        <f t="shared" si="4"/>
        <v>263</v>
      </c>
      <c r="C266" s="42" t="s">
        <v>1010</v>
      </c>
      <c r="D266" s="60" t="s">
        <v>1010</v>
      </c>
      <c r="E266" s="26" t="e">
        <f>VLOOKUP(C266,#REF!,3,0)</f>
        <v>#REF!</v>
      </c>
      <c r="F266" s="205" t="s">
        <v>1825</v>
      </c>
      <c r="G266" s="25" t="s">
        <v>1803</v>
      </c>
      <c r="H266" s="25" t="s">
        <v>1215</v>
      </c>
      <c r="I266" s="35">
        <v>4</v>
      </c>
      <c r="J266" s="36" t="s">
        <v>1256</v>
      </c>
      <c r="K266" s="37"/>
      <c r="L266" s="38"/>
      <c r="M266" s="39"/>
      <c r="N266" s="44">
        <v>800</v>
      </c>
      <c r="O266" s="25" t="s">
        <v>1800</v>
      </c>
      <c r="P266" s="34" t="s">
        <v>1826</v>
      </c>
    </row>
    <row r="267" spans="2:16" ht="27.75" customHeight="1">
      <c r="B267" s="25">
        <f t="shared" si="4"/>
        <v>264</v>
      </c>
      <c r="C267" s="42" t="s">
        <v>1045</v>
      </c>
      <c r="D267" s="60" t="s">
        <v>1045</v>
      </c>
      <c r="E267" s="26" t="e">
        <f>VLOOKUP(C267,#REF!,3,0)</f>
        <v>#REF!</v>
      </c>
      <c r="F267" s="205" t="s">
        <v>1827</v>
      </c>
      <c r="G267" s="25" t="s">
        <v>1806</v>
      </c>
      <c r="H267" s="25" t="s">
        <v>1215</v>
      </c>
      <c r="I267" s="35">
        <v>4</v>
      </c>
      <c r="J267" s="36" t="s">
        <v>1256</v>
      </c>
      <c r="K267" s="37"/>
      <c r="L267" s="38"/>
      <c r="M267" s="39"/>
      <c r="N267" s="44">
        <v>800</v>
      </c>
      <c r="O267" s="25" t="s">
        <v>1800</v>
      </c>
      <c r="P267" s="34" t="s">
        <v>1828</v>
      </c>
    </row>
    <row r="268" spans="2:16" ht="27.75" customHeight="1">
      <c r="B268" s="25">
        <f t="shared" si="4"/>
        <v>265</v>
      </c>
      <c r="C268" s="42" t="s">
        <v>1008</v>
      </c>
      <c r="D268" s="60" t="s">
        <v>1008</v>
      </c>
      <c r="E268" s="26" t="e">
        <f>VLOOKUP(C268,#REF!,3,0)</f>
        <v>#REF!</v>
      </c>
      <c r="F268" s="205" t="s">
        <v>1829</v>
      </c>
      <c r="G268" s="25" t="s">
        <v>1803</v>
      </c>
      <c r="H268" s="25" t="s">
        <v>1215</v>
      </c>
      <c r="I268" s="35">
        <v>4</v>
      </c>
      <c r="J268" s="36" t="s">
        <v>1256</v>
      </c>
      <c r="K268" s="37"/>
      <c r="L268" s="38"/>
      <c r="M268" s="39"/>
      <c r="N268" s="44">
        <v>800</v>
      </c>
      <c r="O268" s="25" t="s">
        <v>1800</v>
      </c>
      <c r="P268" s="34" t="s">
        <v>1830</v>
      </c>
    </row>
    <row r="269" spans="2:16" ht="27.75" customHeight="1">
      <c r="B269" s="25">
        <f t="shared" si="4"/>
        <v>266</v>
      </c>
      <c r="C269" s="42" t="s">
        <v>678</v>
      </c>
      <c r="D269" s="60" t="s">
        <v>678</v>
      </c>
      <c r="E269" s="26" t="e">
        <f>VLOOKUP(C269,#REF!,3,0)</f>
        <v>#REF!</v>
      </c>
      <c r="F269" s="205" t="s">
        <v>1831</v>
      </c>
      <c r="G269" s="25" t="s">
        <v>1809</v>
      </c>
      <c r="H269" s="25" t="s">
        <v>1215</v>
      </c>
      <c r="I269" s="35">
        <v>4</v>
      </c>
      <c r="J269" s="36" t="s">
        <v>1256</v>
      </c>
      <c r="K269" s="37"/>
      <c r="L269" s="38"/>
      <c r="M269" s="39"/>
      <c r="N269" s="44">
        <v>800</v>
      </c>
      <c r="O269" s="25" t="s">
        <v>1800</v>
      </c>
      <c r="P269" s="34" t="s">
        <v>1832</v>
      </c>
    </row>
    <row r="270" spans="2:16" ht="27.75" customHeight="1">
      <c r="B270" s="25">
        <f t="shared" si="4"/>
        <v>267</v>
      </c>
      <c r="C270" s="42" t="s">
        <v>1007</v>
      </c>
      <c r="D270" s="60" t="s">
        <v>1007</v>
      </c>
      <c r="E270" s="26" t="e">
        <f>VLOOKUP(C270,#REF!,3,0)</f>
        <v>#REF!</v>
      </c>
      <c r="F270" s="205" t="s">
        <v>1833</v>
      </c>
      <c r="G270" s="25" t="s">
        <v>1803</v>
      </c>
      <c r="H270" s="25" t="s">
        <v>1215</v>
      </c>
      <c r="I270" s="35">
        <v>4</v>
      </c>
      <c r="J270" s="36" t="s">
        <v>1256</v>
      </c>
      <c r="K270" s="37"/>
      <c r="L270" s="38"/>
      <c r="M270" s="39"/>
      <c r="N270" s="44">
        <v>800</v>
      </c>
      <c r="O270" s="25" t="s">
        <v>1800</v>
      </c>
      <c r="P270" s="34" t="s">
        <v>1834</v>
      </c>
    </row>
    <row r="271" spans="2:16" ht="27.75" customHeight="1">
      <c r="B271" s="25">
        <f t="shared" si="4"/>
        <v>268</v>
      </c>
      <c r="C271" s="42" t="s">
        <v>1046</v>
      </c>
      <c r="D271" s="60" t="s">
        <v>1046</v>
      </c>
      <c r="E271" s="26" t="e">
        <f>VLOOKUP(C271,#REF!,3,0)</f>
        <v>#REF!</v>
      </c>
      <c r="F271" s="205" t="s">
        <v>1835</v>
      </c>
      <c r="G271" s="25" t="s">
        <v>1806</v>
      </c>
      <c r="H271" s="25" t="s">
        <v>1215</v>
      </c>
      <c r="I271" s="35">
        <v>4</v>
      </c>
      <c r="J271" s="36" t="s">
        <v>1256</v>
      </c>
      <c r="K271" s="37"/>
      <c r="L271" s="38"/>
      <c r="M271" s="39"/>
      <c r="N271" s="44">
        <v>800</v>
      </c>
      <c r="O271" s="25" t="s">
        <v>1800</v>
      </c>
      <c r="P271" s="34" t="s">
        <v>1828</v>
      </c>
    </row>
    <row r="272" spans="2:16" ht="27.75" customHeight="1">
      <c r="B272" s="25">
        <f t="shared" si="4"/>
        <v>269</v>
      </c>
      <c r="C272" s="42" t="s">
        <v>1009</v>
      </c>
      <c r="D272" s="60" t="s">
        <v>1009</v>
      </c>
      <c r="E272" s="26" t="e">
        <f>VLOOKUP(C272,#REF!,3,0)</f>
        <v>#REF!</v>
      </c>
      <c r="F272" s="205" t="s">
        <v>1836</v>
      </c>
      <c r="G272" s="25" t="s">
        <v>1803</v>
      </c>
      <c r="H272" s="25" t="s">
        <v>1215</v>
      </c>
      <c r="I272" s="35">
        <v>4</v>
      </c>
      <c r="J272" s="36" t="s">
        <v>1256</v>
      </c>
      <c r="K272" s="37"/>
      <c r="L272" s="38"/>
      <c r="M272" s="39"/>
      <c r="N272" s="44">
        <v>800</v>
      </c>
      <c r="O272" s="25" t="s">
        <v>1800</v>
      </c>
      <c r="P272" s="34" t="s">
        <v>1837</v>
      </c>
    </row>
    <row r="273" spans="2:16" ht="27.75" customHeight="1">
      <c r="B273" s="25">
        <f t="shared" si="4"/>
        <v>270</v>
      </c>
      <c r="C273" s="42" t="s">
        <v>679</v>
      </c>
      <c r="D273" s="60" t="s">
        <v>679</v>
      </c>
      <c r="E273" s="26" t="e">
        <f>VLOOKUP(C273,#REF!,3,0)</f>
        <v>#REF!</v>
      </c>
      <c r="F273" s="205" t="s">
        <v>1838</v>
      </c>
      <c r="G273" s="25" t="s">
        <v>1809</v>
      </c>
      <c r="H273" s="25" t="s">
        <v>1215</v>
      </c>
      <c r="I273" s="35">
        <v>4</v>
      </c>
      <c r="J273" s="36" t="s">
        <v>1256</v>
      </c>
      <c r="K273" s="37"/>
      <c r="L273" s="38"/>
      <c r="M273" s="39"/>
      <c r="N273" s="44">
        <v>800</v>
      </c>
      <c r="O273" s="25" t="s">
        <v>1800</v>
      </c>
      <c r="P273" s="34" t="s">
        <v>1839</v>
      </c>
    </row>
    <row r="274" spans="2:16" ht="27.75" customHeight="1">
      <c r="B274" s="25">
        <f t="shared" si="4"/>
        <v>271</v>
      </c>
      <c r="C274" s="42" t="s">
        <v>1006</v>
      </c>
      <c r="D274" s="60" t="s">
        <v>1006</v>
      </c>
      <c r="E274" s="26" t="e">
        <f>VLOOKUP(C274,#REF!,3,0)</f>
        <v>#REF!</v>
      </c>
      <c r="F274" s="205" t="s">
        <v>1840</v>
      </c>
      <c r="G274" s="25" t="s">
        <v>1803</v>
      </c>
      <c r="H274" s="25" t="s">
        <v>1215</v>
      </c>
      <c r="I274" s="35">
        <v>4</v>
      </c>
      <c r="J274" s="36" t="s">
        <v>1256</v>
      </c>
      <c r="K274" s="37"/>
      <c r="L274" s="38"/>
      <c r="M274" s="39"/>
      <c r="N274" s="44">
        <v>800</v>
      </c>
      <c r="O274" s="25" t="s">
        <v>1800</v>
      </c>
      <c r="P274" s="34" t="s">
        <v>1841</v>
      </c>
    </row>
    <row r="275" spans="2:16" ht="27.75" customHeight="1">
      <c r="B275" s="25">
        <f t="shared" si="4"/>
        <v>272</v>
      </c>
      <c r="C275" s="42" t="s">
        <v>815</v>
      </c>
      <c r="D275" s="60" t="s">
        <v>815</v>
      </c>
      <c r="E275" s="26" t="e">
        <f>VLOOKUP(C275,#REF!,3,0)</f>
        <v>#REF!</v>
      </c>
      <c r="F275" s="205" t="s">
        <v>1842</v>
      </c>
      <c r="G275" s="25" t="s">
        <v>1843</v>
      </c>
      <c r="H275" s="25" t="s">
        <v>1215</v>
      </c>
      <c r="I275" s="35">
        <v>4</v>
      </c>
      <c r="J275" s="36" t="s">
        <v>1256</v>
      </c>
      <c r="K275" s="37"/>
      <c r="L275" s="38"/>
      <c r="M275" s="39"/>
      <c r="N275" s="44">
        <v>800</v>
      </c>
      <c r="O275" s="25" t="s">
        <v>1800</v>
      </c>
      <c r="P275" s="34" t="s">
        <v>1844</v>
      </c>
    </row>
    <row r="276" spans="2:16" ht="27.75" customHeight="1">
      <c r="B276" s="25">
        <f t="shared" si="4"/>
        <v>273</v>
      </c>
      <c r="C276" s="42" t="s">
        <v>1005</v>
      </c>
      <c r="D276" s="60" t="s">
        <v>1005</v>
      </c>
      <c r="E276" s="26" t="e">
        <f>VLOOKUP(C276,#REF!,3,0)</f>
        <v>#REF!</v>
      </c>
      <c r="F276" s="205" t="s">
        <v>1845</v>
      </c>
      <c r="G276" s="25" t="s">
        <v>1803</v>
      </c>
      <c r="H276" s="25" t="s">
        <v>1215</v>
      </c>
      <c r="I276" s="35">
        <v>4</v>
      </c>
      <c r="J276" s="36" t="s">
        <v>1256</v>
      </c>
      <c r="K276" s="37"/>
      <c r="L276" s="38"/>
      <c r="M276" s="39"/>
      <c r="N276" s="44">
        <v>800</v>
      </c>
      <c r="O276" s="25" t="s">
        <v>1800</v>
      </c>
      <c r="P276" s="34" t="s">
        <v>1846</v>
      </c>
    </row>
    <row r="277" spans="2:16" ht="27.75" customHeight="1">
      <c r="B277" s="25">
        <f t="shared" si="4"/>
        <v>274</v>
      </c>
      <c r="C277" s="42" t="s">
        <v>680</v>
      </c>
      <c r="D277" s="60" t="s">
        <v>680</v>
      </c>
      <c r="E277" s="26" t="e">
        <f>VLOOKUP(C277,#REF!,3,0)</f>
        <v>#REF!</v>
      </c>
      <c r="F277" s="205" t="s">
        <v>1847</v>
      </c>
      <c r="G277" s="25" t="s">
        <v>1809</v>
      </c>
      <c r="H277" s="25" t="s">
        <v>1215</v>
      </c>
      <c r="I277" s="35">
        <v>4</v>
      </c>
      <c r="J277" s="36" t="s">
        <v>1256</v>
      </c>
      <c r="K277" s="37"/>
      <c r="L277" s="38"/>
      <c r="M277" s="39"/>
      <c r="N277" s="44">
        <v>800</v>
      </c>
      <c r="O277" s="25" t="s">
        <v>1800</v>
      </c>
      <c r="P277" s="34" t="s">
        <v>1839</v>
      </c>
    </row>
    <row r="278" spans="2:16" ht="27.75" customHeight="1">
      <c r="B278" s="25">
        <f t="shared" si="4"/>
        <v>275</v>
      </c>
      <c r="C278" s="42" t="s">
        <v>681</v>
      </c>
      <c r="D278" s="60" t="s">
        <v>681</v>
      </c>
      <c r="E278" s="26" t="e">
        <f>VLOOKUP(C278,#REF!,3,0)</f>
        <v>#REF!</v>
      </c>
      <c r="F278" s="205" t="s">
        <v>1848</v>
      </c>
      <c r="G278" s="25" t="s">
        <v>1809</v>
      </c>
      <c r="H278" s="25" t="s">
        <v>1215</v>
      </c>
      <c r="I278" s="35">
        <v>4</v>
      </c>
      <c r="J278" s="36" t="s">
        <v>1256</v>
      </c>
      <c r="K278" s="37"/>
      <c r="L278" s="38"/>
      <c r="M278" s="39"/>
      <c r="N278" s="44">
        <v>800</v>
      </c>
      <c r="O278" s="25" t="s">
        <v>1800</v>
      </c>
      <c r="P278" s="34" t="s">
        <v>1839</v>
      </c>
    </row>
    <row r="279" spans="2:16" ht="27.75" customHeight="1">
      <c r="B279" s="25">
        <f t="shared" si="4"/>
        <v>276</v>
      </c>
      <c r="C279" s="42" t="s">
        <v>970</v>
      </c>
      <c r="D279" s="17" t="s">
        <v>970</v>
      </c>
      <c r="E279" s="26" t="e">
        <f>VLOOKUP(C279,#REF!,3,0)</f>
        <v>#REF!</v>
      </c>
      <c r="F279" s="205" t="s">
        <v>1849</v>
      </c>
      <c r="G279" s="25" t="s">
        <v>1850</v>
      </c>
      <c r="H279" s="25"/>
      <c r="I279" s="35">
        <v>2</v>
      </c>
      <c r="J279" s="36"/>
      <c r="K279" s="37"/>
      <c r="L279" s="38"/>
      <c r="M279" s="39" t="s">
        <v>1250</v>
      </c>
      <c r="N279" s="44">
        <v>500</v>
      </c>
      <c r="O279" s="25" t="s">
        <v>1310</v>
      </c>
      <c r="P279" s="34" t="s">
        <v>1851</v>
      </c>
    </row>
    <row r="280" spans="2:16" ht="27.75" customHeight="1">
      <c r="B280" s="25">
        <f t="shared" si="4"/>
        <v>277</v>
      </c>
      <c r="C280" s="42" t="s">
        <v>967</v>
      </c>
      <c r="D280" s="17" t="s">
        <v>967</v>
      </c>
      <c r="E280" s="26" t="e">
        <f>VLOOKUP(C280,#REF!,3,0)</f>
        <v>#REF!</v>
      </c>
      <c r="F280" s="205" t="s">
        <v>1852</v>
      </c>
      <c r="G280" s="25" t="s">
        <v>1853</v>
      </c>
      <c r="H280" s="25"/>
      <c r="I280" s="35">
        <v>1</v>
      </c>
      <c r="J280" s="36" t="s">
        <v>1256</v>
      </c>
      <c r="K280" s="37"/>
      <c r="L280" s="38"/>
      <c r="M280" s="39"/>
      <c r="N280" s="44">
        <v>500</v>
      </c>
      <c r="O280" s="25" t="s">
        <v>1854</v>
      </c>
      <c r="P280" s="34" t="s">
        <v>1855</v>
      </c>
    </row>
    <row r="281" spans="2:16" ht="27.75" customHeight="1">
      <c r="B281" s="25">
        <f t="shared" si="4"/>
        <v>278</v>
      </c>
      <c r="C281" s="42" t="s">
        <v>962</v>
      </c>
      <c r="D281" s="17" t="s">
        <v>962</v>
      </c>
      <c r="E281" s="26" t="e">
        <f>VLOOKUP(C281,#REF!,3,0)</f>
        <v>#REF!</v>
      </c>
      <c r="F281" s="205" t="s">
        <v>1856</v>
      </c>
      <c r="G281" s="25" t="s">
        <v>1857</v>
      </c>
      <c r="H281" s="25"/>
      <c r="I281" s="35">
        <v>1</v>
      </c>
      <c r="J281" s="36" t="s">
        <v>1256</v>
      </c>
      <c r="K281" s="37"/>
      <c r="L281" s="38"/>
      <c r="M281" s="39"/>
      <c r="N281" s="44">
        <v>500</v>
      </c>
      <c r="O281" s="25" t="s">
        <v>1854</v>
      </c>
      <c r="P281" s="34" t="s">
        <v>1858</v>
      </c>
    </row>
    <row r="282" spans="2:16" ht="27.75" customHeight="1">
      <c r="B282" s="25">
        <f t="shared" si="4"/>
        <v>279</v>
      </c>
      <c r="C282" s="42" t="s">
        <v>968</v>
      </c>
      <c r="D282" s="17" t="s">
        <v>968</v>
      </c>
      <c r="E282" s="26" t="e">
        <f>VLOOKUP(C282,#REF!,3,0)</f>
        <v>#REF!</v>
      </c>
      <c r="F282" s="205" t="s">
        <v>1859</v>
      </c>
      <c r="G282" s="25" t="s">
        <v>1860</v>
      </c>
      <c r="H282" s="25"/>
      <c r="I282" s="35">
        <v>2</v>
      </c>
      <c r="J282" s="36" t="s">
        <v>1256</v>
      </c>
      <c r="K282" s="37"/>
      <c r="L282" s="38"/>
      <c r="M282" s="39"/>
      <c r="N282" s="44">
        <v>500</v>
      </c>
      <c r="O282" s="25" t="s">
        <v>1854</v>
      </c>
      <c r="P282" s="34" t="s">
        <v>1861</v>
      </c>
    </row>
    <row r="283" spans="2:16" ht="27.75" customHeight="1">
      <c r="B283" s="25">
        <f t="shared" si="4"/>
        <v>280</v>
      </c>
      <c r="C283" s="42" t="s">
        <v>963</v>
      </c>
      <c r="D283" s="17" t="s">
        <v>963</v>
      </c>
      <c r="E283" s="26" t="e">
        <f>VLOOKUP(C283,#REF!,3,0)</f>
        <v>#REF!</v>
      </c>
      <c r="F283" s="205" t="s">
        <v>1862</v>
      </c>
      <c r="G283" s="25" t="s">
        <v>1863</v>
      </c>
      <c r="H283" s="25"/>
      <c r="I283" s="35">
        <v>2</v>
      </c>
      <c r="J283" s="36" t="s">
        <v>1256</v>
      </c>
      <c r="K283" s="37"/>
      <c r="L283" s="38"/>
      <c r="M283" s="39"/>
      <c r="N283" s="44">
        <v>500</v>
      </c>
      <c r="O283" s="25" t="s">
        <v>1854</v>
      </c>
      <c r="P283" s="34" t="s">
        <v>1864</v>
      </c>
    </row>
    <row r="284" spans="2:16" ht="27.75" customHeight="1">
      <c r="B284" s="25">
        <f t="shared" si="4"/>
        <v>281</v>
      </c>
      <c r="C284" s="42" t="s">
        <v>969</v>
      </c>
      <c r="D284" s="17" t="s">
        <v>969</v>
      </c>
      <c r="E284" s="26" t="e">
        <f>VLOOKUP(C284,#REF!,3,0)</f>
        <v>#REF!</v>
      </c>
      <c r="F284" s="205" t="s">
        <v>1865</v>
      </c>
      <c r="G284" s="25" t="s">
        <v>1866</v>
      </c>
      <c r="H284" s="25" t="s">
        <v>1215</v>
      </c>
      <c r="I284" s="35">
        <v>2</v>
      </c>
      <c r="J284" s="36" t="s">
        <v>1256</v>
      </c>
      <c r="K284" s="37"/>
      <c r="L284" s="38"/>
      <c r="M284" s="39"/>
      <c r="N284" s="44">
        <v>500</v>
      </c>
      <c r="O284" s="25" t="s">
        <v>1854</v>
      </c>
      <c r="P284" s="34" t="s">
        <v>1867</v>
      </c>
    </row>
    <row r="285" spans="2:16" ht="27.75" customHeight="1">
      <c r="B285" s="25">
        <f t="shared" si="4"/>
        <v>282</v>
      </c>
      <c r="C285" s="42" t="s">
        <v>964</v>
      </c>
      <c r="D285" s="17" t="s">
        <v>964</v>
      </c>
      <c r="E285" s="26" t="e">
        <f>VLOOKUP(C285,#REF!,3,0)</f>
        <v>#REF!</v>
      </c>
      <c r="F285" s="205" t="s">
        <v>1868</v>
      </c>
      <c r="G285" s="25" t="s">
        <v>1869</v>
      </c>
      <c r="H285" s="25"/>
      <c r="I285" s="35">
        <v>2</v>
      </c>
      <c r="J285" s="36" t="s">
        <v>1256</v>
      </c>
      <c r="K285" s="37"/>
      <c r="L285" s="38"/>
      <c r="M285" s="39"/>
      <c r="N285" s="44">
        <v>500</v>
      </c>
      <c r="O285" s="25" t="s">
        <v>1854</v>
      </c>
      <c r="P285" s="34" t="s">
        <v>1870</v>
      </c>
    </row>
    <row r="286" spans="2:16" ht="27.75" customHeight="1">
      <c r="B286" s="25">
        <f t="shared" si="4"/>
        <v>283</v>
      </c>
      <c r="C286" s="42" t="s">
        <v>957</v>
      </c>
      <c r="D286" s="17" t="s">
        <v>957</v>
      </c>
      <c r="E286" s="26" t="e">
        <f>VLOOKUP(C286,#REF!,3,0)</f>
        <v>#REF!</v>
      </c>
      <c r="F286" s="205" t="s">
        <v>1871</v>
      </c>
      <c r="G286" s="25" t="s">
        <v>1872</v>
      </c>
      <c r="H286" s="25"/>
      <c r="I286" s="35">
        <v>2</v>
      </c>
      <c r="J286" s="36" t="s">
        <v>1256</v>
      </c>
      <c r="K286" s="37"/>
      <c r="L286" s="38"/>
      <c r="M286" s="39"/>
      <c r="N286" s="44">
        <v>500</v>
      </c>
      <c r="O286" s="25" t="s">
        <v>1310</v>
      </c>
      <c r="P286" s="34" t="s">
        <v>1873</v>
      </c>
    </row>
    <row r="287" spans="2:16" ht="27.75" customHeight="1">
      <c r="B287" s="25">
        <f t="shared" si="4"/>
        <v>284</v>
      </c>
      <c r="C287" s="42" t="s">
        <v>958</v>
      </c>
      <c r="D287" s="17" t="s">
        <v>958</v>
      </c>
      <c r="E287" s="26" t="e">
        <f>VLOOKUP(C287,#REF!,3,0)</f>
        <v>#REF!</v>
      </c>
      <c r="F287" s="205" t="s">
        <v>1874</v>
      </c>
      <c r="G287" s="25" t="s">
        <v>1872</v>
      </c>
      <c r="H287" s="25"/>
      <c r="I287" s="35">
        <v>2</v>
      </c>
      <c r="J287" s="36" t="s">
        <v>1256</v>
      </c>
      <c r="K287" s="37"/>
      <c r="L287" s="38"/>
      <c r="M287" s="39"/>
      <c r="N287" s="44">
        <v>500</v>
      </c>
      <c r="O287" s="25" t="s">
        <v>1310</v>
      </c>
      <c r="P287" s="34" t="s">
        <v>1873</v>
      </c>
    </row>
    <row r="288" spans="2:16" ht="27.75" customHeight="1">
      <c r="B288" s="25">
        <f t="shared" si="4"/>
        <v>285</v>
      </c>
      <c r="C288" s="42" t="s">
        <v>965</v>
      </c>
      <c r="D288" s="17" t="s">
        <v>965</v>
      </c>
      <c r="E288" s="26" t="e">
        <f>VLOOKUP(C288,#REF!,3,0)</f>
        <v>#REF!</v>
      </c>
      <c r="F288" s="205" t="s">
        <v>1875</v>
      </c>
      <c r="G288" s="25" t="s">
        <v>1876</v>
      </c>
      <c r="H288" s="25" t="s">
        <v>1215</v>
      </c>
      <c r="I288" s="35">
        <v>1</v>
      </c>
      <c r="J288" s="36" t="s">
        <v>1256</v>
      </c>
      <c r="K288" s="37"/>
      <c r="L288" s="38"/>
      <c r="M288" s="39"/>
      <c r="N288" s="44">
        <v>500</v>
      </c>
      <c r="O288" s="25" t="s">
        <v>1854</v>
      </c>
      <c r="P288" s="34" t="s">
        <v>1877</v>
      </c>
    </row>
    <row r="289" spans="2:16" ht="27.75" customHeight="1">
      <c r="B289" s="25">
        <f t="shared" si="4"/>
        <v>286</v>
      </c>
      <c r="C289" s="42" t="s">
        <v>961</v>
      </c>
      <c r="D289" s="17" t="s">
        <v>961</v>
      </c>
      <c r="E289" s="26" t="e">
        <f>VLOOKUP(C289,#REF!,3,0)</f>
        <v>#REF!</v>
      </c>
      <c r="F289" s="205" t="s">
        <v>1878</v>
      </c>
      <c r="G289" s="25" t="s">
        <v>1879</v>
      </c>
      <c r="H289" s="25"/>
      <c r="I289" s="35">
        <v>1</v>
      </c>
      <c r="J289" s="36" t="s">
        <v>1256</v>
      </c>
      <c r="K289" s="37"/>
      <c r="L289" s="38"/>
      <c r="M289" s="39"/>
      <c r="N289" s="44">
        <v>500</v>
      </c>
      <c r="O289" s="25" t="s">
        <v>1854</v>
      </c>
      <c r="P289" s="34" t="s">
        <v>1880</v>
      </c>
    </row>
    <row r="290" spans="2:16" ht="27.75" customHeight="1">
      <c r="B290" s="25">
        <f t="shared" si="4"/>
        <v>287</v>
      </c>
      <c r="C290" s="42" t="s">
        <v>966</v>
      </c>
      <c r="D290" s="17" t="s">
        <v>966</v>
      </c>
      <c r="E290" s="26" t="e">
        <f>VLOOKUP(C290,#REF!,3,0)</f>
        <v>#REF!</v>
      </c>
      <c r="F290" s="205" t="s">
        <v>1881</v>
      </c>
      <c r="G290" s="25" t="s">
        <v>1882</v>
      </c>
      <c r="H290" s="25" t="s">
        <v>1215</v>
      </c>
      <c r="I290" s="35">
        <v>1</v>
      </c>
      <c r="J290" s="36" t="s">
        <v>1256</v>
      </c>
      <c r="K290" s="37"/>
      <c r="L290" s="38"/>
      <c r="M290" s="39"/>
      <c r="N290" s="44">
        <v>500</v>
      </c>
      <c r="O290" s="25" t="s">
        <v>1310</v>
      </c>
      <c r="P290" s="34" t="s">
        <v>1883</v>
      </c>
    </row>
    <row r="291" spans="2:16" ht="27.75" customHeight="1">
      <c r="B291" s="25">
        <f t="shared" si="4"/>
        <v>288</v>
      </c>
      <c r="C291" s="42" t="s">
        <v>956</v>
      </c>
      <c r="D291" s="17" t="s">
        <v>956</v>
      </c>
      <c r="E291" s="26" t="e">
        <f>VLOOKUP(C291,#REF!,3,0)</f>
        <v>#REF!</v>
      </c>
      <c r="F291" s="205" t="s">
        <v>1884</v>
      </c>
      <c r="G291" s="25" t="s">
        <v>1885</v>
      </c>
      <c r="H291" s="25"/>
      <c r="I291" s="35">
        <v>2</v>
      </c>
      <c r="J291" s="36" t="s">
        <v>1256</v>
      </c>
      <c r="K291" s="37"/>
      <c r="L291" s="38"/>
      <c r="M291" s="39"/>
      <c r="N291" s="44">
        <v>500</v>
      </c>
      <c r="O291" s="25" t="s">
        <v>1310</v>
      </c>
      <c r="P291" s="34" t="s">
        <v>1886</v>
      </c>
    </row>
    <row r="292" spans="2:16" ht="27.75" customHeight="1">
      <c r="B292" s="25">
        <f t="shared" si="4"/>
        <v>289</v>
      </c>
      <c r="C292" s="42" t="s">
        <v>971</v>
      </c>
      <c r="D292" s="17" t="s">
        <v>971</v>
      </c>
      <c r="E292" s="26" t="e">
        <f>VLOOKUP(C292,#REF!,3,0)</f>
        <v>#REF!</v>
      </c>
      <c r="F292" s="205" t="s">
        <v>1887</v>
      </c>
      <c r="G292" s="25" t="s">
        <v>1888</v>
      </c>
      <c r="H292" s="25"/>
      <c r="I292" s="35">
        <v>2</v>
      </c>
      <c r="J292" s="36" t="s">
        <v>1256</v>
      </c>
      <c r="K292" s="37"/>
      <c r="L292" s="38"/>
      <c r="M292" s="39"/>
      <c r="N292" s="44">
        <v>500</v>
      </c>
      <c r="O292" s="25" t="s">
        <v>1854</v>
      </c>
      <c r="P292" s="34" t="s">
        <v>1889</v>
      </c>
    </row>
    <row r="293" spans="2:16" ht="27.75" customHeight="1">
      <c r="B293" s="25">
        <f t="shared" si="4"/>
        <v>290</v>
      </c>
      <c r="C293" s="42" t="s">
        <v>955</v>
      </c>
      <c r="D293" s="17" t="s">
        <v>955</v>
      </c>
      <c r="E293" s="26" t="e">
        <f>VLOOKUP(C293,#REF!,3,0)</f>
        <v>#REF!</v>
      </c>
      <c r="F293" s="205" t="s">
        <v>1890</v>
      </c>
      <c r="G293" s="25" t="s">
        <v>1891</v>
      </c>
      <c r="H293" s="25" t="s">
        <v>1892</v>
      </c>
      <c r="I293" s="35">
        <v>1</v>
      </c>
      <c r="J293" s="36" t="s">
        <v>1256</v>
      </c>
      <c r="K293" s="37"/>
      <c r="L293" s="38"/>
      <c r="M293" s="39"/>
      <c r="N293" s="44">
        <v>500</v>
      </c>
      <c r="O293" s="25" t="s">
        <v>1310</v>
      </c>
      <c r="P293" s="34" t="s">
        <v>1893</v>
      </c>
    </row>
    <row r="294" spans="2:16" ht="27.75" customHeight="1">
      <c r="B294" s="25">
        <f t="shared" si="4"/>
        <v>291</v>
      </c>
      <c r="C294" s="42" t="s">
        <v>960</v>
      </c>
      <c r="D294" s="17" t="s">
        <v>960</v>
      </c>
      <c r="E294" s="26" t="e">
        <f>VLOOKUP(C294,#REF!,3,0)</f>
        <v>#REF!</v>
      </c>
      <c r="F294" s="205" t="s">
        <v>1894</v>
      </c>
      <c r="G294" s="25" t="s">
        <v>1895</v>
      </c>
      <c r="H294" s="25"/>
      <c r="I294" s="35">
        <v>1</v>
      </c>
      <c r="J294" s="36" t="s">
        <v>1256</v>
      </c>
      <c r="K294" s="37"/>
      <c r="L294" s="38"/>
      <c r="M294" s="39"/>
      <c r="N294" s="44">
        <v>500</v>
      </c>
      <c r="O294" s="25" t="s">
        <v>1854</v>
      </c>
      <c r="P294" s="34" t="s">
        <v>1896</v>
      </c>
    </row>
    <row r="295" spans="2:16" ht="27.75" customHeight="1">
      <c r="B295" s="25">
        <f t="shared" si="4"/>
        <v>292</v>
      </c>
      <c r="C295" s="42" t="s">
        <v>954</v>
      </c>
      <c r="D295" s="17" t="s">
        <v>954</v>
      </c>
      <c r="E295" s="26" t="e">
        <f>VLOOKUP(C295,#REF!,3,0)</f>
        <v>#REF!</v>
      </c>
      <c r="F295" s="205" t="s">
        <v>1897</v>
      </c>
      <c r="G295" s="25" t="s">
        <v>1898</v>
      </c>
      <c r="H295" s="25" t="s">
        <v>1892</v>
      </c>
      <c r="I295" s="35">
        <v>1</v>
      </c>
      <c r="J295" s="36" t="s">
        <v>1256</v>
      </c>
      <c r="K295" s="37"/>
      <c r="L295" s="38"/>
      <c r="M295" s="39"/>
      <c r="N295" s="44">
        <v>500</v>
      </c>
      <c r="O295" s="25" t="s">
        <v>1310</v>
      </c>
      <c r="P295" s="34" t="s">
        <v>1899</v>
      </c>
    </row>
    <row r="296" spans="2:16" ht="27.75" customHeight="1">
      <c r="B296" s="25">
        <f t="shared" si="4"/>
        <v>293</v>
      </c>
      <c r="C296" s="42" t="s">
        <v>959</v>
      </c>
      <c r="D296" s="17" t="s">
        <v>959</v>
      </c>
      <c r="E296" s="26" t="e">
        <f>VLOOKUP(C296,#REF!,3,0)</f>
        <v>#REF!</v>
      </c>
      <c r="F296" s="205" t="s">
        <v>1900</v>
      </c>
      <c r="G296" s="25" t="s">
        <v>1901</v>
      </c>
      <c r="H296" s="25"/>
      <c r="I296" s="35">
        <v>1</v>
      </c>
      <c r="J296" s="36" t="s">
        <v>1256</v>
      </c>
      <c r="K296" s="37"/>
      <c r="L296" s="38"/>
      <c r="M296" s="39"/>
      <c r="N296" s="44">
        <v>500</v>
      </c>
      <c r="O296" s="25" t="s">
        <v>1854</v>
      </c>
      <c r="P296" s="34" t="s">
        <v>1902</v>
      </c>
    </row>
    <row r="297" spans="2:16" ht="27.75" customHeight="1">
      <c r="B297" s="25">
        <f t="shared" si="4"/>
        <v>294</v>
      </c>
      <c r="C297" s="42" t="s">
        <v>66</v>
      </c>
      <c r="D297" s="17" t="s">
        <v>66</v>
      </c>
      <c r="E297" s="26" t="e">
        <f>VLOOKUP(C297,#REF!,3,0)</f>
        <v>#REF!</v>
      </c>
      <c r="F297" s="205" t="s">
        <v>1903</v>
      </c>
      <c r="G297" s="25" t="s">
        <v>1904</v>
      </c>
      <c r="H297" s="25"/>
      <c r="I297" s="35">
        <v>4</v>
      </c>
      <c r="J297" s="36"/>
      <c r="K297" s="37"/>
      <c r="L297" s="38"/>
      <c r="M297" s="39" t="s">
        <v>1250</v>
      </c>
      <c r="N297" s="44">
        <v>1000</v>
      </c>
      <c r="O297" s="25" t="s">
        <v>1310</v>
      </c>
      <c r="P297" s="34" t="s">
        <v>1905</v>
      </c>
    </row>
    <row r="298" spans="2:16" ht="27.75" customHeight="1">
      <c r="B298" s="25">
        <f t="shared" si="4"/>
        <v>295</v>
      </c>
      <c r="C298" s="42" t="s">
        <v>67</v>
      </c>
      <c r="D298" s="17" t="s">
        <v>67</v>
      </c>
      <c r="E298" s="26" t="e">
        <f>VLOOKUP(C298,#REF!,3,0)</f>
        <v>#REF!</v>
      </c>
      <c r="F298" s="205" t="s">
        <v>1906</v>
      </c>
      <c r="G298" s="25" t="s">
        <v>1907</v>
      </c>
      <c r="H298" s="25"/>
      <c r="I298" s="35">
        <v>8</v>
      </c>
      <c r="J298" s="36" t="s">
        <v>1256</v>
      </c>
      <c r="K298" s="37"/>
      <c r="L298" s="38"/>
      <c r="M298" s="39"/>
      <c r="N298" s="44">
        <v>1000</v>
      </c>
      <c r="O298" s="25" t="s">
        <v>1310</v>
      </c>
      <c r="P298" s="34" t="s">
        <v>1908</v>
      </c>
    </row>
    <row r="299" spans="2:16" ht="27.75" customHeight="1">
      <c r="B299" s="25">
        <f t="shared" si="4"/>
        <v>296</v>
      </c>
      <c r="C299" s="42" t="s">
        <v>146</v>
      </c>
      <c r="D299" s="17" t="s">
        <v>146</v>
      </c>
      <c r="E299" s="26" t="e">
        <f>VLOOKUP(C299,#REF!,3,0)</f>
        <v>#REF!</v>
      </c>
      <c r="F299" s="205" t="s">
        <v>1909</v>
      </c>
      <c r="G299" s="25" t="s">
        <v>1910</v>
      </c>
      <c r="H299" s="25"/>
      <c r="I299" s="35">
        <v>4</v>
      </c>
      <c r="J299" s="36" t="s">
        <v>1256</v>
      </c>
      <c r="K299" s="37"/>
      <c r="L299" s="38"/>
      <c r="M299" s="39"/>
      <c r="N299" s="44">
        <v>1000</v>
      </c>
      <c r="O299" s="25" t="s">
        <v>1310</v>
      </c>
      <c r="P299" s="34" t="s">
        <v>1911</v>
      </c>
    </row>
    <row r="300" spans="2:16" ht="27.75" customHeight="1">
      <c r="B300" s="25">
        <f t="shared" si="4"/>
        <v>297</v>
      </c>
      <c r="C300" s="42" t="s">
        <v>148</v>
      </c>
      <c r="D300" s="17" t="s">
        <v>148</v>
      </c>
      <c r="E300" s="26" t="e">
        <f>VLOOKUP(C300,#REF!,3,0)</f>
        <v>#REF!</v>
      </c>
      <c r="F300" s="205" t="s">
        <v>1912</v>
      </c>
      <c r="G300" s="25" t="s">
        <v>1913</v>
      </c>
      <c r="H300" s="25"/>
      <c r="I300" s="35">
        <v>8</v>
      </c>
      <c r="J300" s="36" t="s">
        <v>1256</v>
      </c>
      <c r="K300" s="37"/>
      <c r="L300" s="38"/>
      <c r="M300" s="39"/>
      <c r="N300" s="44">
        <v>800</v>
      </c>
      <c r="O300" s="25" t="s">
        <v>1310</v>
      </c>
      <c r="P300" s="34" t="s">
        <v>1914</v>
      </c>
    </row>
    <row r="301" spans="2:16" ht="27.75" customHeight="1">
      <c r="B301" s="25">
        <f t="shared" si="4"/>
        <v>298</v>
      </c>
      <c r="C301" s="42" t="s">
        <v>150</v>
      </c>
      <c r="D301" s="17" t="s">
        <v>150</v>
      </c>
      <c r="E301" s="26" t="e">
        <f>VLOOKUP(C301,#REF!,3,0)</f>
        <v>#REF!</v>
      </c>
      <c r="F301" s="205" t="s">
        <v>1915</v>
      </c>
      <c r="G301" s="25" t="s">
        <v>1916</v>
      </c>
      <c r="H301" s="25"/>
      <c r="I301" s="35">
        <v>8</v>
      </c>
      <c r="J301" s="36" t="s">
        <v>1256</v>
      </c>
      <c r="K301" s="37"/>
      <c r="L301" s="38"/>
      <c r="M301" s="39"/>
      <c r="N301" s="44">
        <v>1000</v>
      </c>
      <c r="O301" s="25" t="s">
        <v>1310</v>
      </c>
      <c r="P301" s="34" t="s">
        <v>1794</v>
      </c>
    </row>
    <row r="302" spans="2:16" ht="27.75" customHeight="1">
      <c r="B302" s="25">
        <f t="shared" si="4"/>
        <v>299</v>
      </c>
      <c r="C302" s="42" t="s">
        <v>151</v>
      </c>
      <c r="D302" s="17" t="s">
        <v>151</v>
      </c>
      <c r="E302" s="26" t="e">
        <f>VLOOKUP(C302,#REF!,3,0)</f>
        <v>#REF!</v>
      </c>
      <c r="F302" s="205" t="s">
        <v>1917</v>
      </c>
      <c r="G302" s="25" t="s">
        <v>1918</v>
      </c>
      <c r="H302" s="25"/>
      <c r="I302" s="35">
        <v>8</v>
      </c>
      <c r="J302" s="36" t="s">
        <v>1256</v>
      </c>
      <c r="K302" s="37"/>
      <c r="L302" s="38"/>
      <c r="M302" s="39"/>
      <c r="N302" s="44">
        <v>800</v>
      </c>
      <c r="O302" s="25" t="s">
        <v>1310</v>
      </c>
      <c r="P302" s="34" t="s">
        <v>1919</v>
      </c>
    </row>
    <row r="303" spans="2:16" ht="27.75" customHeight="1">
      <c r="B303" s="25">
        <f t="shared" si="4"/>
        <v>300</v>
      </c>
      <c r="C303" s="42" t="s">
        <v>152</v>
      </c>
      <c r="D303" s="17" t="s">
        <v>152</v>
      </c>
      <c r="E303" s="26" t="e">
        <f>VLOOKUP(C303,#REF!,3,0)</f>
        <v>#REF!</v>
      </c>
      <c r="F303" s="205" t="s">
        <v>1920</v>
      </c>
      <c r="G303" s="25" t="s">
        <v>1921</v>
      </c>
      <c r="H303" s="25"/>
      <c r="I303" s="35">
        <v>8</v>
      </c>
      <c r="J303" s="36" t="s">
        <v>1256</v>
      </c>
      <c r="K303" s="37"/>
      <c r="L303" s="38"/>
      <c r="M303" s="39"/>
      <c r="N303" s="44">
        <v>800</v>
      </c>
      <c r="O303" s="25" t="s">
        <v>1310</v>
      </c>
      <c r="P303" s="34" t="s">
        <v>1919</v>
      </c>
    </row>
    <row r="304" spans="2:16" ht="27.75" customHeight="1">
      <c r="B304" s="25">
        <f t="shared" si="4"/>
        <v>301</v>
      </c>
      <c r="C304" s="42" t="s">
        <v>154</v>
      </c>
      <c r="D304" s="17" t="s">
        <v>154</v>
      </c>
      <c r="E304" s="26" t="e">
        <f>VLOOKUP(C304,#REF!,3,0)</f>
        <v>#REF!</v>
      </c>
      <c r="F304" s="205" t="s">
        <v>1922</v>
      </c>
      <c r="G304" s="25" t="s">
        <v>1923</v>
      </c>
      <c r="H304" s="25"/>
      <c r="I304" s="35">
        <v>8</v>
      </c>
      <c r="J304" s="36" t="s">
        <v>1256</v>
      </c>
      <c r="K304" s="37"/>
      <c r="L304" s="38"/>
      <c r="M304" s="39"/>
      <c r="N304" s="44">
        <v>800</v>
      </c>
      <c r="O304" s="25" t="s">
        <v>1310</v>
      </c>
      <c r="P304" s="34" t="s">
        <v>1924</v>
      </c>
    </row>
    <row r="305" spans="2:16" ht="27.75" customHeight="1">
      <c r="B305" s="25"/>
      <c r="C305" s="42" t="s">
        <v>155</v>
      </c>
      <c r="D305" s="17" t="s">
        <v>154</v>
      </c>
      <c r="E305" s="26" t="e">
        <f>VLOOKUP(C305,#REF!,3,0)</f>
        <v>#REF!</v>
      </c>
      <c r="F305" s="205" t="s">
        <v>1922</v>
      </c>
      <c r="G305" s="25" t="s">
        <v>1923</v>
      </c>
      <c r="H305" s="25"/>
      <c r="I305" s="35">
        <v>8</v>
      </c>
      <c r="J305" s="36" t="s">
        <v>1256</v>
      </c>
      <c r="K305" s="37"/>
      <c r="L305" s="38"/>
      <c r="M305" s="39"/>
      <c r="N305" s="44"/>
      <c r="O305" s="25"/>
      <c r="P305" s="34"/>
    </row>
    <row r="306" spans="2:16" ht="27.75" customHeight="1">
      <c r="B306" s="25">
        <f>B304+1</f>
        <v>302</v>
      </c>
      <c r="C306" s="42" t="s">
        <v>157</v>
      </c>
      <c r="D306" s="17" t="s">
        <v>157</v>
      </c>
      <c r="E306" s="26" t="e">
        <f>VLOOKUP(C306,#REF!,3,0)</f>
        <v>#REF!</v>
      </c>
      <c r="F306" s="205" t="s">
        <v>1925</v>
      </c>
      <c r="G306" s="25" t="s">
        <v>1926</v>
      </c>
      <c r="H306" s="25"/>
      <c r="I306" s="35">
        <v>8</v>
      </c>
      <c r="J306" s="36" t="s">
        <v>1256</v>
      </c>
      <c r="K306" s="37"/>
      <c r="L306" s="38"/>
      <c r="M306" s="39"/>
      <c r="N306" s="44">
        <v>800</v>
      </c>
      <c r="O306" s="25" t="s">
        <v>1310</v>
      </c>
      <c r="P306" s="34" t="s">
        <v>1927</v>
      </c>
    </row>
    <row r="307" spans="2:16" ht="27.75" customHeight="1">
      <c r="B307" s="25">
        <f t="shared" si="4"/>
        <v>303</v>
      </c>
      <c r="C307" s="42" t="s">
        <v>158</v>
      </c>
      <c r="D307" s="17" t="s">
        <v>158</v>
      </c>
      <c r="E307" s="26" t="e">
        <f>VLOOKUP(C307,#REF!,3,0)</f>
        <v>#REF!</v>
      </c>
      <c r="F307" s="205" t="s">
        <v>1928</v>
      </c>
      <c r="G307" s="25" t="s">
        <v>1929</v>
      </c>
      <c r="H307" s="25"/>
      <c r="I307" s="35">
        <v>8</v>
      </c>
      <c r="J307" s="36" t="s">
        <v>1256</v>
      </c>
      <c r="K307" s="37"/>
      <c r="L307" s="38"/>
      <c r="M307" s="39"/>
      <c r="N307" s="44">
        <v>800</v>
      </c>
      <c r="O307" s="25" t="s">
        <v>1310</v>
      </c>
      <c r="P307" s="34" t="s">
        <v>1930</v>
      </c>
    </row>
    <row r="308" spans="2:16" ht="27.75" customHeight="1">
      <c r="B308" s="25">
        <f t="shared" si="4"/>
        <v>304</v>
      </c>
      <c r="C308" s="42" t="s">
        <v>159</v>
      </c>
      <c r="D308" s="17" t="s">
        <v>159</v>
      </c>
      <c r="E308" s="26" t="e">
        <f>VLOOKUP(C308,#REF!,3,0)</f>
        <v>#REF!</v>
      </c>
      <c r="F308" s="205" t="s">
        <v>1931</v>
      </c>
      <c r="G308" s="25" t="s">
        <v>1932</v>
      </c>
      <c r="H308" s="25"/>
      <c r="I308" s="35">
        <v>8</v>
      </c>
      <c r="J308" s="36" t="s">
        <v>1256</v>
      </c>
      <c r="K308" s="37"/>
      <c r="L308" s="38"/>
      <c r="M308" s="39"/>
      <c r="N308" s="44">
        <v>800</v>
      </c>
      <c r="O308" s="25" t="s">
        <v>1310</v>
      </c>
      <c r="P308" s="34" t="s">
        <v>1924</v>
      </c>
    </row>
    <row r="309" spans="2:16" ht="27.75" customHeight="1">
      <c r="B309" s="25">
        <f t="shared" si="4"/>
        <v>305</v>
      </c>
      <c r="C309" s="42" t="s">
        <v>161</v>
      </c>
      <c r="D309" s="17" t="s">
        <v>161</v>
      </c>
      <c r="E309" s="26" t="e">
        <f>VLOOKUP(C309,#REF!,3,0)</f>
        <v>#REF!</v>
      </c>
      <c r="F309" s="205" t="s">
        <v>1933</v>
      </c>
      <c r="G309" s="25" t="s">
        <v>1934</v>
      </c>
      <c r="H309" s="25"/>
      <c r="I309" s="35">
        <v>8</v>
      </c>
      <c r="J309" s="36" t="s">
        <v>1256</v>
      </c>
      <c r="K309" s="37"/>
      <c r="L309" s="38"/>
      <c r="M309" s="39"/>
      <c r="N309" s="44">
        <v>800</v>
      </c>
      <c r="O309" s="25" t="s">
        <v>1310</v>
      </c>
      <c r="P309" s="34" t="s">
        <v>1935</v>
      </c>
    </row>
    <row r="310" spans="2:16" ht="27.75" customHeight="1">
      <c r="B310" s="25">
        <f t="shared" si="4"/>
        <v>306</v>
      </c>
      <c r="C310" s="42" t="s">
        <v>162</v>
      </c>
      <c r="D310" s="17" t="s">
        <v>162</v>
      </c>
      <c r="E310" s="26" t="e">
        <f>VLOOKUP(C310,#REF!,3,0)</f>
        <v>#REF!</v>
      </c>
      <c r="F310" s="205" t="s">
        <v>1936</v>
      </c>
      <c r="G310" s="25" t="s">
        <v>1937</v>
      </c>
      <c r="H310" s="25"/>
      <c r="I310" s="35">
        <v>8</v>
      </c>
      <c r="J310" s="36" t="s">
        <v>1256</v>
      </c>
      <c r="K310" s="37"/>
      <c r="L310" s="38"/>
      <c r="M310" s="39"/>
      <c r="N310" s="44">
        <v>800</v>
      </c>
      <c r="O310" s="25" t="s">
        <v>1310</v>
      </c>
      <c r="P310" s="34" t="s">
        <v>1938</v>
      </c>
    </row>
    <row r="311" spans="2:16" ht="27.75" customHeight="1">
      <c r="B311" s="25">
        <f t="shared" si="4"/>
        <v>307</v>
      </c>
      <c r="C311" s="42" t="s">
        <v>164</v>
      </c>
      <c r="D311" s="17" t="s">
        <v>164</v>
      </c>
      <c r="E311" s="26" t="e">
        <f>VLOOKUP(C311,#REF!,3,0)</f>
        <v>#REF!</v>
      </c>
      <c r="F311" s="205" t="s">
        <v>1936</v>
      </c>
      <c r="G311" s="25" t="s">
        <v>1939</v>
      </c>
      <c r="H311" s="25"/>
      <c r="I311" s="35">
        <v>16</v>
      </c>
      <c r="J311" s="36"/>
      <c r="K311" s="37"/>
      <c r="L311" s="38"/>
      <c r="M311" s="39" t="s">
        <v>1250</v>
      </c>
      <c r="N311" s="44">
        <v>800</v>
      </c>
      <c r="O311" s="25" t="s">
        <v>1310</v>
      </c>
      <c r="P311" s="34" t="s">
        <v>1940</v>
      </c>
    </row>
    <row r="312" spans="2:16" ht="27.75" customHeight="1">
      <c r="B312" s="25">
        <f t="shared" si="4"/>
        <v>308</v>
      </c>
      <c r="C312" s="42" t="s">
        <v>166</v>
      </c>
      <c r="D312" s="17" t="s">
        <v>166</v>
      </c>
      <c r="E312" s="26" t="e">
        <f>VLOOKUP(C312,#REF!,3,0)</f>
        <v>#REF!</v>
      </c>
      <c r="F312" s="205" t="s">
        <v>1941</v>
      </c>
      <c r="G312" s="25" t="s">
        <v>1324</v>
      </c>
      <c r="H312" s="25"/>
      <c r="I312" s="35">
        <v>2</v>
      </c>
      <c r="J312" s="36" t="s">
        <v>1256</v>
      </c>
      <c r="K312" s="37"/>
      <c r="L312" s="38"/>
      <c r="M312" s="39"/>
      <c r="N312" s="44">
        <v>800</v>
      </c>
      <c r="O312" s="25" t="s">
        <v>1310</v>
      </c>
      <c r="P312" s="34" t="s">
        <v>1905</v>
      </c>
    </row>
    <row r="313" spans="2:16" ht="27.75" customHeight="1">
      <c r="B313" s="25">
        <f t="shared" si="4"/>
        <v>309</v>
      </c>
      <c r="C313" s="42" t="s">
        <v>167</v>
      </c>
      <c r="D313" s="17" t="s">
        <v>167</v>
      </c>
      <c r="E313" s="26" t="e">
        <f>VLOOKUP(C313,#REF!,3,0)</f>
        <v>#REF!</v>
      </c>
      <c r="F313" s="205" t="s">
        <v>1942</v>
      </c>
      <c r="G313" s="25" t="s">
        <v>1284</v>
      </c>
      <c r="H313" s="25" t="s">
        <v>1215</v>
      </c>
      <c r="I313" s="35">
        <v>2</v>
      </c>
      <c r="J313" s="36" t="s">
        <v>1256</v>
      </c>
      <c r="K313" s="37"/>
      <c r="L313" s="38"/>
      <c r="M313" s="39"/>
      <c r="N313" s="44">
        <v>800</v>
      </c>
      <c r="O313" s="25" t="s">
        <v>1310</v>
      </c>
      <c r="P313" s="34" t="s">
        <v>1943</v>
      </c>
    </row>
    <row r="314" spans="2:16" ht="27.75" customHeight="1">
      <c r="B314" s="25"/>
      <c r="C314" s="42" t="s">
        <v>168</v>
      </c>
      <c r="D314" s="17" t="s">
        <v>167</v>
      </c>
      <c r="E314" s="26" t="e">
        <f>VLOOKUP(C314,#REF!,3,0)</f>
        <v>#REF!</v>
      </c>
      <c r="F314" s="205" t="s">
        <v>1942</v>
      </c>
      <c r="G314" s="25" t="s">
        <v>1284</v>
      </c>
      <c r="H314" s="25" t="s">
        <v>1215</v>
      </c>
      <c r="I314" s="35">
        <v>2</v>
      </c>
      <c r="J314" s="36" t="s">
        <v>1256</v>
      </c>
      <c r="K314" s="37"/>
      <c r="L314" s="38"/>
      <c r="M314" s="39"/>
      <c r="N314" s="44"/>
      <c r="O314" s="25"/>
      <c r="P314" s="34"/>
    </row>
    <row r="315" spans="2:16" ht="27.75" customHeight="1">
      <c r="B315" s="25"/>
      <c r="C315" s="42" t="s">
        <v>169</v>
      </c>
      <c r="D315" s="17" t="s">
        <v>167</v>
      </c>
      <c r="E315" s="26" t="e">
        <f>VLOOKUP(C315,#REF!,3,0)</f>
        <v>#REF!</v>
      </c>
      <c r="F315" s="205" t="s">
        <v>1942</v>
      </c>
      <c r="G315" s="25" t="s">
        <v>1284</v>
      </c>
      <c r="H315" s="25" t="s">
        <v>1215</v>
      </c>
      <c r="I315" s="35">
        <v>2</v>
      </c>
      <c r="J315" s="36" t="s">
        <v>1256</v>
      </c>
      <c r="K315" s="37"/>
      <c r="L315" s="38"/>
      <c r="M315" s="39"/>
      <c r="N315" s="44"/>
      <c r="O315" s="25"/>
      <c r="P315" s="34"/>
    </row>
    <row r="316" spans="2:16" ht="27.75" customHeight="1">
      <c r="B316" s="25"/>
      <c r="C316" s="42" t="s">
        <v>170</v>
      </c>
      <c r="D316" s="17" t="s">
        <v>167</v>
      </c>
      <c r="E316" s="26" t="e">
        <f>VLOOKUP(C316,#REF!,3,0)</f>
        <v>#REF!</v>
      </c>
      <c r="F316" s="205" t="s">
        <v>1942</v>
      </c>
      <c r="G316" s="25" t="s">
        <v>1284</v>
      </c>
      <c r="H316" s="25" t="s">
        <v>1215</v>
      </c>
      <c r="I316" s="35">
        <v>2</v>
      </c>
      <c r="J316" s="36" t="s">
        <v>1256</v>
      </c>
      <c r="K316" s="37"/>
      <c r="L316" s="38"/>
      <c r="M316" s="39"/>
      <c r="N316" s="44"/>
      <c r="O316" s="25"/>
      <c r="P316" s="34"/>
    </row>
    <row r="317" spans="2:16" ht="27.75" customHeight="1">
      <c r="B317" s="25"/>
      <c r="C317" s="42" t="s">
        <v>171</v>
      </c>
      <c r="D317" s="17" t="s">
        <v>167</v>
      </c>
      <c r="E317" s="26" t="e">
        <f>VLOOKUP(C317,#REF!,3,0)</f>
        <v>#REF!</v>
      </c>
      <c r="F317" s="205" t="s">
        <v>1942</v>
      </c>
      <c r="G317" s="25" t="s">
        <v>1284</v>
      </c>
      <c r="H317" s="25" t="s">
        <v>1215</v>
      </c>
      <c r="I317" s="35">
        <v>2</v>
      </c>
      <c r="J317" s="36" t="s">
        <v>1256</v>
      </c>
      <c r="K317" s="37"/>
      <c r="L317" s="38"/>
      <c r="M317" s="39"/>
      <c r="N317" s="44"/>
      <c r="O317" s="25"/>
      <c r="P317" s="34"/>
    </row>
    <row r="318" spans="2:16" ht="27.75" customHeight="1">
      <c r="B318" s="25"/>
      <c r="C318" s="42" t="s">
        <v>172</v>
      </c>
      <c r="D318" s="17" t="s">
        <v>167</v>
      </c>
      <c r="E318" s="26" t="e">
        <f>VLOOKUP(C318,#REF!,3,0)</f>
        <v>#REF!</v>
      </c>
      <c r="F318" s="205" t="s">
        <v>1942</v>
      </c>
      <c r="G318" s="25" t="s">
        <v>1284</v>
      </c>
      <c r="H318" s="25" t="s">
        <v>1215</v>
      </c>
      <c r="I318" s="35">
        <v>2</v>
      </c>
      <c r="J318" s="36" t="s">
        <v>1256</v>
      </c>
      <c r="K318" s="37"/>
      <c r="L318" s="38"/>
      <c r="M318" s="39"/>
      <c r="N318" s="44"/>
      <c r="O318" s="25"/>
      <c r="P318" s="34"/>
    </row>
    <row r="319" spans="2:16" ht="27.75" customHeight="1">
      <c r="B319" s="25"/>
      <c r="C319" s="42" t="s">
        <v>173</v>
      </c>
      <c r="D319" s="17" t="s">
        <v>167</v>
      </c>
      <c r="E319" s="26" t="e">
        <f>VLOOKUP(C319,#REF!,3,0)</f>
        <v>#REF!</v>
      </c>
      <c r="F319" s="205" t="s">
        <v>1942</v>
      </c>
      <c r="G319" s="25" t="s">
        <v>1284</v>
      </c>
      <c r="H319" s="25" t="s">
        <v>1215</v>
      </c>
      <c r="I319" s="35">
        <v>2</v>
      </c>
      <c r="J319" s="36" t="s">
        <v>1256</v>
      </c>
      <c r="K319" s="37"/>
      <c r="L319" s="38"/>
      <c r="M319" s="39"/>
      <c r="N319" s="44"/>
      <c r="O319" s="25"/>
      <c r="P319" s="34"/>
    </row>
    <row r="320" spans="2:16" ht="27.75" customHeight="1">
      <c r="B320" s="25"/>
      <c r="C320" s="42" t="s">
        <v>174</v>
      </c>
      <c r="D320" s="17" t="s">
        <v>167</v>
      </c>
      <c r="E320" s="26" t="e">
        <f>VLOOKUP(C320,#REF!,3,0)</f>
        <v>#REF!</v>
      </c>
      <c r="F320" s="205" t="s">
        <v>1942</v>
      </c>
      <c r="G320" s="25" t="s">
        <v>1284</v>
      </c>
      <c r="H320" s="25" t="s">
        <v>1215</v>
      </c>
      <c r="I320" s="35">
        <v>2</v>
      </c>
      <c r="J320" s="36" t="s">
        <v>1256</v>
      </c>
      <c r="K320" s="37"/>
      <c r="L320" s="38"/>
      <c r="M320" s="39"/>
      <c r="N320" s="44"/>
      <c r="O320" s="25"/>
      <c r="P320" s="34"/>
    </row>
    <row r="321" spans="2:16" ht="27.75" customHeight="1">
      <c r="B321" s="25"/>
      <c r="C321" s="42" t="s">
        <v>175</v>
      </c>
      <c r="D321" s="17" t="s">
        <v>167</v>
      </c>
      <c r="E321" s="26" t="e">
        <f>VLOOKUP(C321,#REF!,3,0)</f>
        <v>#REF!</v>
      </c>
      <c r="F321" s="205" t="s">
        <v>1942</v>
      </c>
      <c r="G321" s="25" t="s">
        <v>1284</v>
      </c>
      <c r="H321" s="25" t="s">
        <v>1215</v>
      </c>
      <c r="I321" s="35">
        <v>2</v>
      </c>
      <c r="J321" s="36" t="s">
        <v>1256</v>
      </c>
      <c r="K321" s="37"/>
      <c r="L321" s="38"/>
      <c r="M321" s="39"/>
      <c r="N321" s="44"/>
      <c r="O321" s="25"/>
      <c r="P321" s="34"/>
    </row>
    <row r="322" spans="2:16" ht="27.75" customHeight="1">
      <c r="B322" s="25"/>
      <c r="C322" s="42" t="s">
        <v>176</v>
      </c>
      <c r="D322" s="17" t="s">
        <v>167</v>
      </c>
      <c r="E322" s="26" t="e">
        <f>VLOOKUP(C322,#REF!,3,0)</f>
        <v>#REF!</v>
      </c>
      <c r="F322" s="205" t="s">
        <v>1942</v>
      </c>
      <c r="G322" s="25" t="s">
        <v>1284</v>
      </c>
      <c r="H322" s="25" t="s">
        <v>1215</v>
      </c>
      <c r="I322" s="35">
        <v>2</v>
      </c>
      <c r="J322" s="36" t="s">
        <v>1256</v>
      </c>
      <c r="K322" s="37"/>
      <c r="L322" s="38"/>
      <c r="M322" s="39"/>
      <c r="N322" s="44"/>
      <c r="O322" s="25"/>
      <c r="P322" s="34"/>
    </row>
    <row r="323" spans="2:16" ht="27.75" customHeight="1">
      <c r="B323" s="25"/>
      <c r="C323" s="42" t="s">
        <v>898</v>
      </c>
      <c r="D323" s="17" t="s">
        <v>167</v>
      </c>
      <c r="E323" s="26" t="e">
        <f>VLOOKUP(C323,#REF!,3,0)</f>
        <v>#REF!</v>
      </c>
      <c r="F323" s="205" t="s">
        <v>1942</v>
      </c>
      <c r="G323" s="25" t="s">
        <v>1284</v>
      </c>
      <c r="H323" s="25" t="s">
        <v>1215</v>
      </c>
      <c r="I323" s="35">
        <v>2</v>
      </c>
      <c r="J323" s="36" t="s">
        <v>1256</v>
      </c>
      <c r="K323" s="37"/>
      <c r="L323" s="38"/>
      <c r="M323" s="39"/>
      <c r="N323" s="44"/>
      <c r="O323" s="25"/>
      <c r="P323" s="34"/>
    </row>
    <row r="324" spans="2:16" ht="27.75" customHeight="1">
      <c r="B324" s="25"/>
      <c r="C324" s="42" t="s">
        <v>1003</v>
      </c>
      <c r="D324" s="17" t="s">
        <v>167</v>
      </c>
      <c r="E324" s="26" t="e">
        <f>VLOOKUP(C324,#REF!,3,0)</f>
        <v>#REF!</v>
      </c>
      <c r="F324" s="205" t="s">
        <v>1942</v>
      </c>
      <c r="G324" s="25" t="s">
        <v>1284</v>
      </c>
      <c r="H324" s="25" t="s">
        <v>1215</v>
      </c>
      <c r="I324" s="35">
        <v>2</v>
      </c>
      <c r="J324" s="36" t="s">
        <v>1256</v>
      </c>
      <c r="K324" s="37"/>
      <c r="L324" s="38"/>
      <c r="M324" s="39"/>
      <c r="N324" s="44"/>
      <c r="O324" s="25"/>
      <c r="P324" s="34"/>
    </row>
    <row r="325" spans="2:16" ht="27.75" customHeight="1">
      <c r="B325" s="25">
        <f>B313+1</f>
        <v>310</v>
      </c>
      <c r="C325" s="42" t="s">
        <v>181</v>
      </c>
      <c r="D325" s="17" t="s">
        <v>181</v>
      </c>
      <c r="E325" s="26" t="e">
        <f>VLOOKUP(C325,#REF!,3,0)</f>
        <v>#REF!</v>
      </c>
      <c r="F325" s="205" t="s">
        <v>1944</v>
      </c>
      <c r="G325" s="25" t="s">
        <v>1945</v>
      </c>
      <c r="H325" s="25" t="s">
        <v>1215</v>
      </c>
      <c r="I325" s="35">
        <v>2</v>
      </c>
      <c r="J325" s="36" t="s">
        <v>1256</v>
      </c>
      <c r="K325" s="37"/>
      <c r="L325" s="38"/>
      <c r="M325" s="39"/>
      <c r="N325" s="44">
        <v>1000</v>
      </c>
      <c r="O325" s="25" t="s">
        <v>1310</v>
      </c>
      <c r="P325" s="34" t="s">
        <v>1946</v>
      </c>
    </row>
    <row r="326" spans="2:16" ht="27.75" customHeight="1">
      <c r="B326" s="25">
        <f t="shared" si="4"/>
        <v>311</v>
      </c>
      <c r="C326" s="42" t="s">
        <v>182</v>
      </c>
      <c r="D326" s="17" t="s">
        <v>182</v>
      </c>
      <c r="E326" s="26" t="e">
        <f>VLOOKUP(C326,#REF!,3,0)</f>
        <v>#REF!</v>
      </c>
      <c r="F326" s="205" t="s">
        <v>1947</v>
      </c>
      <c r="G326" s="25" t="s">
        <v>1948</v>
      </c>
      <c r="H326" s="25" t="s">
        <v>1215</v>
      </c>
      <c r="I326" s="35">
        <v>2</v>
      </c>
      <c r="J326" s="36" t="s">
        <v>1256</v>
      </c>
      <c r="K326" s="37"/>
      <c r="L326" s="38"/>
      <c r="M326" s="39"/>
      <c r="N326" s="44">
        <v>800</v>
      </c>
      <c r="O326" s="25" t="s">
        <v>1310</v>
      </c>
      <c r="P326" s="34" t="s">
        <v>1949</v>
      </c>
    </row>
    <row r="327" spans="2:16" ht="27.75" customHeight="1">
      <c r="B327" s="25">
        <f t="shared" ref="B327:B390" si="5">B326+1</f>
        <v>312</v>
      </c>
      <c r="C327" s="42" t="s">
        <v>240</v>
      </c>
      <c r="D327" s="17" t="s">
        <v>240</v>
      </c>
      <c r="E327" s="26" t="e">
        <f>VLOOKUP(C327,#REF!,3,0)</f>
        <v>#REF!</v>
      </c>
      <c r="F327" s="205" t="s">
        <v>1917</v>
      </c>
      <c r="G327" s="25" t="s">
        <v>1950</v>
      </c>
      <c r="H327" s="25"/>
      <c r="I327" s="35">
        <v>16</v>
      </c>
      <c r="J327" s="36" t="s">
        <v>1256</v>
      </c>
      <c r="K327" s="37"/>
      <c r="L327" s="38"/>
      <c r="M327" s="39"/>
      <c r="N327" s="44">
        <v>800</v>
      </c>
      <c r="O327" s="25" t="s">
        <v>1310</v>
      </c>
      <c r="P327" s="34" t="s">
        <v>1951</v>
      </c>
    </row>
    <row r="328" spans="2:16" ht="27.75" customHeight="1">
      <c r="B328" s="25">
        <f t="shared" si="5"/>
        <v>313</v>
      </c>
      <c r="C328" s="42" t="s">
        <v>241</v>
      </c>
      <c r="D328" s="17" t="s">
        <v>241</v>
      </c>
      <c r="E328" s="26" t="e">
        <f>VLOOKUP(C328,#REF!,3,0)</f>
        <v>#REF!</v>
      </c>
      <c r="F328" s="205" t="s">
        <v>1952</v>
      </c>
      <c r="G328" s="25" t="s">
        <v>1953</v>
      </c>
      <c r="H328" s="25"/>
      <c r="I328" s="35">
        <v>4</v>
      </c>
      <c r="J328" s="36" t="s">
        <v>1256</v>
      </c>
      <c r="K328" s="37"/>
      <c r="L328" s="38"/>
      <c r="M328" s="39"/>
      <c r="N328" s="44">
        <v>800</v>
      </c>
      <c r="O328" s="25" t="s">
        <v>1310</v>
      </c>
      <c r="P328" s="34" t="s">
        <v>1940</v>
      </c>
    </row>
    <row r="329" spans="2:16" ht="27.75" customHeight="1">
      <c r="B329" s="25">
        <f t="shared" si="5"/>
        <v>314</v>
      </c>
      <c r="C329" s="42" t="s">
        <v>311</v>
      </c>
      <c r="D329" s="17" t="s">
        <v>311</v>
      </c>
      <c r="E329" s="26" t="e">
        <f>VLOOKUP(C329,#REF!,3,0)</f>
        <v>#REF!</v>
      </c>
      <c r="F329" s="205" t="s">
        <v>1954</v>
      </c>
      <c r="G329" s="25" t="s">
        <v>1955</v>
      </c>
      <c r="H329" s="25"/>
      <c r="I329" s="35">
        <v>8</v>
      </c>
      <c r="J329" s="36" t="s">
        <v>1256</v>
      </c>
      <c r="K329" s="37"/>
      <c r="L329" s="38"/>
      <c r="M329" s="39"/>
      <c r="N329" s="44">
        <v>800</v>
      </c>
      <c r="O329" s="25" t="s">
        <v>1310</v>
      </c>
      <c r="P329" s="34" t="s">
        <v>1956</v>
      </c>
    </row>
    <row r="330" spans="2:16" ht="27.75" customHeight="1">
      <c r="B330" s="25">
        <f t="shared" si="5"/>
        <v>315</v>
      </c>
      <c r="C330" s="42" t="s">
        <v>312</v>
      </c>
      <c r="D330" s="17" t="s">
        <v>312</v>
      </c>
      <c r="E330" s="26" t="e">
        <f>VLOOKUP(C330,#REF!,3,0)</f>
        <v>#REF!</v>
      </c>
      <c r="F330" s="205" t="s">
        <v>1957</v>
      </c>
      <c r="G330" s="25" t="s">
        <v>1958</v>
      </c>
      <c r="H330" s="25"/>
      <c r="I330" s="35">
        <v>8</v>
      </c>
      <c r="J330" s="36" t="s">
        <v>1256</v>
      </c>
      <c r="K330" s="37"/>
      <c r="L330" s="38"/>
      <c r="M330" s="39"/>
      <c r="N330" s="44">
        <v>800</v>
      </c>
      <c r="O330" s="25" t="s">
        <v>1310</v>
      </c>
      <c r="P330" s="34" t="s">
        <v>1959</v>
      </c>
    </row>
    <row r="331" spans="2:16" ht="27.75" customHeight="1">
      <c r="B331" s="25">
        <f t="shared" si="5"/>
        <v>316</v>
      </c>
      <c r="C331" s="42" t="s">
        <v>355</v>
      </c>
      <c r="D331" s="17" t="s">
        <v>355</v>
      </c>
      <c r="E331" s="26" t="e">
        <f>VLOOKUP(C331,#REF!,3,0)</f>
        <v>#REF!</v>
      </c>
      <c r="F331" s="205" t="s">
        <v>1960</v>
      </c>
      <c r="G331" s="25" t="s">
        <v>1961</v>
      </c>
      <c r="H331" s="25"/>
      <c r="I331" s="35">
        <v>8</v>
      </c>
      <c r="J331" s="36" t="s">
        <v>1256</v>
      </c>
      <c r="K331" s="37"/>
      <c r="L331" s="38"/>
      <c r="M331" s="39"/>
      <c r="N331" s="44">
        <v>1000</v>
      </c>
      <c r="O331" s="25" t="s">
        <v>1310</v>
      </c>
      <c r="P331" s="34" t="s">
        <v>1927</v>
      </c>
    </row>
    <row r="332" spans="2:16" ht="27.75" customHeight="1">
      <c r="B332" s="25">
        <f t="shared" si="5"/>
        <v>317</v>
      </c>
      <c r="C332" s="42" t="s">
        <v>356</v>
      </c>
      <c r="D332" s="17" t="s">
        <v>356</v>
      </c>
      <c r="E332" s="26" t="e">
        <f>VLOOKUP(C332,#REF!,3,0)</f>
        <v>#REF!</v>
      </c>
      <c r="F332" s="205" t="s">
        <v>1962</v>
      </c>
      <c r="G332" s="25" t="s">
        <v>1324</v>
      </c>
      <c r="H332" s="25"/>
      <c r="I332" s="35">
        <v>2</v>
      </c>
      <c r="J332" s="36" t="s">
        <v>1256</v>
      </c>
      <c r="K332" s="37"/>
      <c r="L332" s="38"/>
      <c r="M332" s="39"/>
      <c r="N332" s="44">
        <v>800</v>
      </c>
      <c r="O332" s="25" t="s">
        <v>1310</v>
      </c>
      <c r="P332" s="34" t="s">
        <v>1905</v>
      </c>
    </row>
    <row r="333" spans="2:16" ht="27.75" customHeight="1">
      <c r="B333" s="25">
        <f t="shared" si="5"/>
        <v>318</v>
      </c>
      <c r="C333" s="42" t="s">
        <v>357</v>
      </c>
      <c r="D333" s="17" t="s">
        <v>357</v>
      </c>
      <c r="E333" s="26" t="e">
        <f>VLOOKUP(C333,#REF!,3,0)</f>
        <v>#REF!</v>
      </c>
      <c r="F333" s="205" t="s">
        <v>1963</v>
      </c>
      <c r="G333" s="25" t="s">
        <v>1945</v>
      </c>
      <c r="H333" s="25" t="s">
        <v>1215</v>
      </c>
      <c r="I333" s="35">
        <v>2</v>
      </c>
      <c r="J333" s="36" t="s">
        <v>1256</v>
      </c>
      <c r="K333" s="37"/>
      <c r="L333" s="38"/>
      <c r="M333" s="39"/>
      <c r="N333" s="44">
        <v>800</v>
      </c>
      <c r="O333" s="25" t="s">
        <v>1310</v>
      </c>
      <c r="P333" s="34" t="s">
        <v>1964</v>
      </c>
    </row>
    <row r="334" spans="2:16" ht="27.75" customHeight="1">
      <c r="B334" s="25">
        <f t="shared" si="5"/>
        <v>319</v>
      </c>
      <c r="C334" s="42" t="s">
        <v>358</v>
      </c>
      <c r="D334" s="17" t="s">
        <v>358</v>
      </c>
      <c r="E334" s="26" t="e">
        <f>VLOOKUP(C334,#REF!,3,0)</f>
        <v>#REF!</v>
      </c>
      <c r="F334" s="205" t="s">
        <v>1965</v>
      </c>
      <c r="G334" s="25" t="s">
        <v>1948</v>
      </c>
      <c r="H334" s="25"/>
      <c r="I334" s="35">
        <v>2</v>
      </c>
      <c r="J334" s="36"/>
      <c r="K334" s="37"/>
      <c r="L334" s="38"/>
      <c r="M334" s="39" t="s">
        <v>1250</v>
      </c>
      <c r="N334" s="44">
        <v>800</v>
      </c>
      <c r="O334" s="25" t="s">
        <v>1310</v>
      </c>
      <c r="P334" s="34" t="s">
        <v>1966</v>
      </c>
    </row>
    <row r="335" spans="2:16" ht="27.75" customHeight="1">
      <c r="B335" s="25">
        <f t="shared" si="5"/>
        <v>320</v>
      </c>
      <c r="C335" s="42" t="s">
        <v>359</v>
      </c>
      <c r="D335" s="17" t="s">
        <v>359</v>
      </c>
      <c r="E335" s="26" t="e">
        <f>VLOOKUP(C335,#REF!,3,0)</f>
        <v>#REF!</v>
      </c>
      <c r="F335" s="205" t="s">
        <v>1967</v>
      </c>
      <c r="G335" s="25" t="s">
        <v>1950</v>
      </c>
      <c r="H335" s="25" t="s">
        <v>1215</v>
      </c>
      <c r="I335" s="35">
        <v>16</v>
      </c>
      <c r="J335" s="36" t="s">
        <v>1256</v>
      </c>
      <c r="K335" s="37"/>
      <c r="L335" s="38"/>
      <c r="M335" s="39"/>
      <c r="N335" s="44">
        <v>800</v>
      </c>
      <c r="O335" s="25" t="s">
        <v>1310</v>
      </c>
      <c r="P335" s="34" t="s">
        <v>1968</v>
      </c>
    </row>
    <row r="336" spans="2:16" ht="27.75" customHeight="1">
      <c r="B336" s="25">
        <f t="shared" si="5"/>
        <v>321</v>
      </c>
      <c r="C336" s="42" t="s">
        <v>361</v>
      </c>
      <c r="D336" s="17" t="s">
        <v>361</v>
      </c>
      <c r="E336" s="26" t="e">
        <f>VLOOKUP(C336,#REF!,3,0)</f>
        <v>#REF!</v>
      </c>
      <c r="F336" s="205" t="s">
        <v>1969</v>
      </c>
      <c r="G336" s="25" t="s">
        <v>1970</v>
      </c>
      <c r="H336" s="25"/>
      <c r="I336" s="35">
        <v>2</v>
      </c>
      <c r="J336" s="36"/>
      <c r="K336" s="37"/>
      <c r="L336" s="38"/>
      <c r="M336" s="39" t="s">
        <v>1250</v>
      </c>
      <c r="N336" s="44">
        <v>800</v>
      </c>
      <c r="O336" s="25" t="s">
        <v>1310</v>
      </c>
      <c r="P336" s="34" t="s">
        <v>1971</v>
      </c>
    </row>
    <row r="337" spans="2:16" ht="27.75" customHeight="1">
      <c r="B337" s="25">
        <f t="shared" si="5"/>
        <v>322</v>
      </c>
      <c r="C337" s="42" t="s">
        <v>362</v>
      </c>
      <c r="D337" s="17" t="s">
        <v>362</v>
      </c>
      <c r="E337" s="26" t="e">
        <f>VLOOKUP(C337,#REF!,3,0)</f>
        <v>#REF!</v>
      </c>
      <c r="F337" s="205" t="s">
        <v>1972</v>
      </c>
      <c r="G337" s="25" t="s">
        <v>1973</v>
      </c>
      <c r="H337" s="25"/>
      <c r="I337" s="35">
        <v>4</v>
      </c>
      <c r="J337" s="36" t="s">
        <v>1256</v>
      </c>
      <c r="K337" s="37"/>
      <c r="L337" s="38"/>
      <c r="M337" s="39"/>
      <c r="N337" s="44">
        <v>1000</v>
      </c>
      <c r="O337" s="25" t="s">
        <v>1310</v>
      </c>
      <c r="P337" s="34" t="s">
        <v>1974</v>
      </c>
    </row>
    <row r="338" spans="2:16" ht="27.75" customHeight="1">
      <c r="B338" s="25">
        <f t="shared" si="5"/>
        <v>323</v>
      </c>
      <c r="C338" s="42" t="s">
        <v>363</v>
      </c>
      <c r="D338" s="17" t="s">
        <v>363</v>
      </c>
      <c r="E338" s="26" t="e">
        <f>VLOOKUP(C338,#REF!,3,0)</f>
        <v>#REF!</v>
      </c>
      <c r="F338" s="205" t="s">
        <v>1975</v>
      </c>
      <c r="G338" s="25" t="s">
        <v>1976</v>
      </c>
      <c r="H338" s="25"/>
      <c r="I338" s="35">
        <v>4</v>
      </c>
      <c r="J338" s="36" t="s">
        <v>1256</v>
      </c>
      <c r="K338" s="37"/>
      <c r="L338" s="38"/>
      <c r="M338" s="39"/>
      <c r="N338" s="44">
        <v>1000</v>
      </c>
      <c r="O338" s="25" t="s">
        <v>1310</v>
      </c>
      <c r="P338" s="34" t="s">
        <v>1974</v>
      </c>
    </row>
    <row r="339" spans="2:16" ht="27.75" customHeight="1">
      <c r="B339" s="25">
        <f t="shared" si="5"/>
        <v>324</v>
      </c>
      <c r="C339" s="42" t="s">
        <v>364</v>
      </c>
      <c r="D339" s="17" t="s">
        <v>364</v>
      </c>
      <c r="E339" s="26" t="e">
        <f>VLOOKUP(C339,#REF!,3,0)</f>
        <v>#REF!</v>
      </c>
      <c r="F339" s="205" t="s">
        <v>1977</v>
      </c>
      <c r="G339" s="25" t="s">
        <v>1978</v>
      </c>
      <c r="H339" s="25"/>
      <c r="I339" s="35">
        <v>4</v>
      </c>
      <c r="J339" s="36" t="s">
        <v>1256</v>
      </c>
      <c r="K339" s="37"/>
      <c r="L339" s="38"/>
      <c r="M339" s="39"/>
      <c r="N339" s="44">
        <v>1000</v>
      </c>
      <c r="O339" s="25" t="s">
        <v>1310</v>
      </c>
      <c r="P339" s="34" t="s">
        <v>1979</v>
      </c>
    </row>
    <row r="340" spans="2:16" ht="27.75" customHeight="1">
      <c r="B340" s="25">
        <f t="shared" si="5"/>
        <v>325</v>
      </c>
      <c r="C340" s="42" t="s">
        <v>366</v>
      </c>
      <c r="D340" s="17" t="s">
        <v>366</v>
      </c>
      <c r="E340" s="26" t="e">
        <f>VLOOKUP(C340,#REF!,3,0)</f>
        <v>#REF!</v>
      </c>
      <c r="F340" s="205" t="s">
        <v>1980</v>
      </c>
      <c r="G340" s="25" t="s">
        <v>1948</v>
      </c>
      <c r="H340" s="25"/>
      <c r="I340" s="35">
        <v>1</v>
      </c>
      <c r="J340" s="36" t="s">
        <v>1256</v>
      </c>
      <c r="K340" s="37"/>
      <c r="L340" s="38"/>
      <c r="M340" s="39"/>
      <c r="N340" s="44">
        <v>800</v>
      </c>
      <c r="O340" s="25" t="s">
        <v>1310</v>
      </c>
      <c r="P340" s="34" t="s">
        <v>1981</v>
      </c>
    </row>
    <row r="341" spans="2:16" ht="27.75" customHeight="1">
      <c r="B341" s="25">
        <f t="shared" si="5"/>
        <v>326</v>
      </c>
      <c r="C341" s="42" t="s">
        <v>367</v>
      </c>
      <c r="D341" s="17" t="s">
        <v>367</v>
      </c>
      <c r="E341" s="26" t="e">
        <f>VLOOKUP(C341,#REF!,3,0)</f>
        <v>#REF!</v>
      </c>
      <c r="F341" s="205" t="s">
        <v>1982</v>
      </c>
      <c r="G341" s="25" t="s">
        <v>1955</v>
      </c>
      <c r="H341" s="25" t="s">
        <v>1215</v>
      </c>
      <c r="I341" s="35">
        <v>4</v>
      </c>
      <c r="J341" s="36" t="s">
        <v>1256</v>
      </c>
      <c r="K341" s="37"/>
      <c r="L341" s="38"/>
      <c r="M341" s="39"/>
      <c r="N341" s="44">
        <v>800</v>
      </c>
      <c r="O341" s="25" t="s">
        <v>1310</v>
      </c>
      <c r="P341" s="34" t="s">
        <v>1983</v>
      </c>
    </row>
    <row r="342" spans="2:16" ht="27.75" customHeight="1">
      <c r="B342" s="25">
        <f t="shared" si="5"/>
        <v>327</v>
      </c>
      <c r="C342" s="42" t="s">
        <v>368</v>
      </c>
      <c r="D342" s="17" t="s">
        <v>368</v>
      </c>
      <c r="E342" s="26" t="e">
        <f>VLOOKUP(C342,#REF!,3,0)</f>
        <v>#REF!</v>
      </c>
      <c r="F342" s="205" t="s">
        <v>1984</v>
      </c>
      <c r="G342" s="25" t="s">
        <v>1985</v>
      </c>
      <c r="H342" s="25"/>
      <c r="I342" s="35">
        <v>8</v>
      </c>
      <c r="J342" s="36" t="s">
        <v>1256</v>
      </c>
      <c r="K342" s="37"/>
      <c r="L342" s="38"/>
      <c r="M342" s="39"/>
      <c r="N342" s="44">
        <v>800</v>
      </c>
      <c r="O342" s="25" t="s">
        <v>1310</v>
      </c>
      <c r="P342" s="34" t="s">
        <v>1986</v>
      </c>
    </row>
    <row r="343" spans="2:16" ht="27.75" customHeight="1">
      <c r="B343" s="25">
        <f t="shared" si="5"/>
        <v>328</v>
      </c>
      <c r="C343" s="42" t="s">
        <v>658</v>
      </c>
      <c r="D343" s="17" t="s">
        <v>658</v>
      </c>
      <c r="E343" s="26" t="e">
        <f>VLOOKUP(C343,#REF!,3,0)</f>
        <v>#REF!</v>
      </c>
      <c r="F343" s="205" t="s">
        <v>1984</v>
      </c>
      <c r="G343" s="25" t="s">
        <v>1907</v>
      </c>
      <c r="H343" s="25"/>
      <c r="I343" s="35">
        <v>8</v>
      </c>
      <c r="J343" s="36"/>
      <c r="K343" s="37"/>
      <c r="L343" s="38"/>
      <c r="M343" s="39" t="s">
        <v>1250</v>
      </c>
      <c r="N343" s="44">
        <v>800</v>
      </c>
      <c r="O343" s="25" t="s">
        <v>1310</v>
      </c>
      <c r="P343" s="34" t="s">
        <v>1986</v>
      </c>
    </row>
    <row r="344" spans="2:16" ht="27.75" customHeight="1">
      <c r="B344" s="25">
        <f t="shared" si="5"/>
        <v>329</v>
      </c>
      <c r="C344" s="42" t="s">
        <v>370</v>
      </c>
      <c r="D344" s="17" t="s">
        <v>370</v>
      </c>
      <c r="E344" s="26" t="e">
        <f>VLOOKUP(C344,#REF!,3,0)</f>
        <v>#REF!</v>
      </c>
      <c r="F344" s="205" t="s">
        <v>1987</v>
      </c>
      <c r="G344" s="25" t="s">
        <v>1988</v>
      </c>
      <c r="H344" s="25"/>
      <c r="I344" s="35">
        <v>8</v>
      </c>
      <c r="J344" s="36" t="s">
        <v>1256</v>
      </c>
      <c r="K344" s="37"/>
      <c r="L344" s="38"/>
      <c r="M344" s="39"/>
      <c r="N344" s="44">
        <v>1000</v>
      </c>
      <c r="O344" s="25" t="s">
        <v>1310</v>
      </c>
      <c r="P344" s="34" t="s">
        <v>1927</v>
      </c>
    </row>
    <row r="345" spans="2:16" ht="27.75" customHeight="1">
      <c r="B345" s="25">
        <f t="shared" si="5"/>
        <v>330</v>
      </c>
      <c r="C345" s="42" t="s">
        <v>371</v>
      </c>
      <c r="D345" s="17" t="s">
        <v>371</v>
      </c>
      <c r="E345" s="26" t="e">
        <f>VLOOKUP(C345,#REF!,3,0)</f>
        <v>#REF!</v>
      </c>
      <c r="F345" s="205" t="s">
        <v>1989</v>
      </c>
      <c r="G345" s="25" t="s">
        <v>1990</v>
      </c>
      <c r="H345" s="25"/>
      <c r="I345" s="35">
        <v>8</v>
      </c>
      <c r="J345" s="36" t="s">
        <v>1256</v>
      </c>
      <c r="K345" s="37"/>
      <c r="L345" s="38"/>
      <c r="M345" s="39"/>
      <c r="N345" s="44">
        <v>800</v>
      </c>
      <c r="O345" s="25" t="s">
        <v>1310</v>
      </c>
      <c r="P345" s="34" t="s">
        <v>1991</v>
      </c>
    </row>
    <row r="346" spans="2:16" ht="27.75" customHeight="1">
      <c r="B346" s="25">
        <f t="shared" si="5"/>
        <v>331</v>
      </c>
      <c r="C346" s="42" t="s">
        <v>372</v>
      </c>
      <c r="D346" s="17" t="s">
        <v>372</v>
      </c>
      <c r="E346" s="26" t="e">
        <f>VLOOKUP(C346,#REF!,3,0)</f>
        <v>#REF!</v>
      </c>
      <c r="F346" s="205" t="s">
        <v>1992</v>
      </c>
      <c r="G346" s="25" t="s">
        <v>1923</v>
      </c>
      <c r="H346" s="25"/>
      <c r="I346" s="35">
        <v>8</v>
      </c>
      <c r="J346" s="36" t="s">
        <v>1256</v>
      </c>
      <c r="K346" s="37"/>
      <c r="L346" s="38"/>
      <c r="M346" s="39"/>
      <c r="N346" s="44">
        <v>800</v>
      </c>
      <c r="O346" s="25" t="s">
        <v>1310</v>
      </c>
      <c r="P346" s="34" t="s">
        <v>1993</v>
      </c>
    </row>
    <row r="347" spans="2:16" ht="27.75" customHeight="1">
      <c r="B347" s="25">
        <f t="shared" si="5"/>
        <v>332</v>
      </c>
      <c r="C347" s="42" t="s">
        <v>373</v>
      </c>
      <c r="D347" s="17" t="s">
        <v>373</v>
      </c>
      <c r="E347" s="26" t="e">
        <f>VLOOKUP(C347,#REF!,3,0)</f>
        <v>#REF!</v>
      </c>
      <c r="F347" s="205" t="s">
        <v>1994</v>
      </c>
      <c r="G347" s="25" t="s">
        <v>1926</v>
      </c>
      <c r="H347" s="25" t="s">
        <v>1215</v>
      </c>
      <c r="I347" s="35">
        <v>8</v>
      </c>
      <c r="J347" s="36" t="s">
        <v>1256</v>
      </c>
      <c r="K347" s="37"/>
      <c r="L347" s="38"/>
      <c r="M347" s="39"/>
      <c r="N347" s="44">
        <v>800</v>
      </c>
      <c r="O347" s="25" t="s">
        <v>1310</v>
      </c>
      <c r="P347" s="34" t="s">
        <v>1995</v>
      </c>
    </row>
    <row r="348" spans="2:16" ht="27.75" customHeight="1">
      <c r="B348" s="25">
        <f t="shared" si="5"/>
        <v>333</v>
      </c>
      <c r="C348" s="42" t="s">
        <v>374</v>
      </c>
      <c r="D348" s="17" t="s">
        <v>374</v>
      </c>
      <c r="E348" s="26" t="e">
        <f>VLOOKUP(C348,#REF!,3,0)</f>
        <v>#REF!</v>
      </c>
      <c r="F348" s="205" t="s">
        <v>1996</v>
      </c>
      <c r="G348" s="25" t="s">
        <v>1929</v>
      </c>
      <c r="H348" s="25"/>
      <c r="I348" s="35">
        <v>8</v>
      </c>
      <c r="J348" s="36" t="s">
        <v>1256</v>
      </c>
      <c r="K348" s="37"/>
      <c r="L348" s="38"/>
      <c r="M348" s="39"/>
      <c r="N348" s="44">
        <v>1000</v>
      </c>
      <c r="O348" s="25" t="s">
        <v>1310</v>
      </c>
      <c r="P348" s="34" t="s">
        <v>1997</v>
      </c>
    </row>
    <row r="349" spans="2:16" ht="27.75" customHeight="1">
      <c r="B349" s="25">
        <f t="shared" si="5"/>
        <v>334</v>
      </c>
      <c r="C349" s="42" t="s">
        <v>375</v>
      </c>
      <c r="D349" s="17" t="s">
        <v>375</v>
      </c>
      <c r="E349" s="26" t="e">
        <f>VLOOKUP(C349,#REF!,3,0)</f>
        <v>#REF!</v>
      </c>
      <c r="F349" s="205" t="s">
        <v>1998</v>
      </c>
      <c r="G349" s="25" t="s">
        <v>1932</v>
      </c>
      <c r="H349" s="25"/>
      <c r="I349" s="35">
        <v>8</v>
      </c>
      <c r="J349" s="36" t="s">
        <v>1256</v>
      </c>
      <c r="K349" s="37"/>
      <c r="L349" s="38"/>
      <c r="M349" s="39"/>
      <c r="N349" s="44">
        <v>800</v>
      </c>
      <c r="O349" s="25" t="s">
        <v>1310</v>
      </c>
      <c r="P349" s="34" t="s">
        <v>1999</v>
      </c>
    </row>
    <row r="350" spans="2:16" ht="27.75" customHeight="1">
      <c r="B350" s="25">
        <f t="shared" si="5"/>
        <v>335</v>
      </c>
      <c r="C350" s="42" t="s">
        <v>376</v>
      </c>
      <c r="D350" s="17" t="s">
        <v>376</v>
      </c>
      <c r="E350" s="26" t="e">
        <f>VLOOKUP(C350,#REF!,3,0)</f>
        <v>#REF!</v>
      </c>
      <c r="F350" s="205" t="s">
        <v>2000</v>
      </c>
      <c r="G350" s="25" t="s">
        <v>1934</v>
      </c>
      <c r="H350" s="25"/>
      <c r="I350" s="35">
        <v>8</v>
      </c>
      <c r="J350" s="36" t="s">
        <v>1256</v>
      </c>
      <c r="K350" s="37"/>
      <c r="L350" s="38"/>
      <c r="M350" s="39"/>
      <c r="N350" s="44">
        <v>800</v>
      </c>
      <c r="O350" s="25" t="s">
        <v>1310</v>
      </c>
      <c r="P350" s="34" t="s">
        <v>1999</v>
      </c>
    </row>
    <row r="351" spans="2:16" ht="27.75" customHeight="1">
      <c r="B351" s="25">
        <f t="shared" si="5"/>
        <v>336</v>
      </c>
      <c r="C351" s="42" t="s">
        <v>378</v>
      </c>
      <c r="D351" s="17" t="s">
        <v>378</v>
      </c>
      <c r="E351" s="26" t="e">
        <f>VLOOKUP(C351,#REF!,3,0)</f>
        <v>#REF!</v>
      </c>
      <c r="F351" s="205" t="s">
        <v>2001</v>
      </c>
      <c r="G351" s="25" t="s">
        <v>1937</v>
      </c>
      <c r="H351" s="25"/>
      <c r="I351" s="35">
        <v>8</v>
      </c>
      <c r="J351" s="36"/>
      <c r="K351" s="37"/>
      <c r="L351" s="38"/>
      <c r="M351" s="39" t="s">
        <v>1250</v>
      </c>
      <c r="N351" s="44">
        <v>1000</v>
      </c>
      <c r="O351" s="25" t="s">
        <v>1310</v>
      </c>
      <c r="P351" s="34" t="s">
        <v>1665</v>
      </c>
    </row>
    <row r="352" spans="2:16" ht="27.75" customHeight="1">
      <c r="B352" s="25">
        <f t="shared" si="5"/>
        <v>337</v>
      </c>
      <c r="C352" s="42" t="s">
        <v>379</v>
      </c>
      <c r="D352" s="17" t="s">
        <v>379</v>
      </c>
      <c r="E352" s="26" t="e">
        <f>VLOOKUP(C352,#REF!,3,0)</f>
        <v>#REF!</v>
      </c>
      <c r="F352" s="205" t="s">
        <v>2002</v>
      </c>
      <c r="G352" s="25" t="s">
        <v>1916</v>
      </c>
      <c r="H352" s="25"/>
      <c r="I352" s="35">
        <v>16</v>
      </c>
      <c r="J352" s="36"/>
      <c r="K352" s="37"/>
      <c r="L352" s="38"/>
      <c r="M352" s="39" t="s">
        <v>1250</v>
      </c>
      <c r="N352" s="44">
        <v>1000</v>
      </c>
      <c r="O352" s="25" t="s">
        <v>2003</v>
      </c>
      <c r="P352" s="34" t="s">
        <v>2004</v>
      </c>
    </row>
    <row r="353" spans="2:16" ht="27.75" customHeight="1">
      <c r="B353" s="25">
        <f t="shared" si="5"/>
        <v>338</v>
      </c>
      <c r="C353" s="42" t="s">
        <v>381</v>
      </c>
      <c r="D353" s="17" t="s">
        <v>381</v>
      </c>
      <c r="E353" s="26" t="e">
        <f>VLOOKUP(C353,#REF!,3,0)</f>
        <v>#REF!</v>
      </c>
      <c r="F353" s="205" t="s">
        <v>2005</v>
      </c>
      <c r="G353" s="25" t="s">
        <v>1910</v>
      </c>
      <c r="H353" s="25"/>
      <c r="I353" s="35">
        <v>16</v>
      </c>
      <c r="J353" s="36" t="s">
        <v>1256</v>
      </c>
      <c r="K353" s="37"/>
      <c r="L353" s="38"/>
      <c r="M353" s="39"/>
      <c r="N353" s="44">
        <v>800</v>
      </c>
      <c r="O353" s="25" t="s">
        <v>1310</v>
      </c>
      <c r="P353" s="34" t="s">
        <v>2006</v>
      </c>
    </row>
    <row r="354" spans="2:16" ht="27.75" customHeight="1">
      <c r="B354" s="25">
        <f t="shared" si="5"/>
        <v>339</v>
      </c>
      <c r="C354" s="42" t="s">
        <v>384</v>
      </c>
      <c r="D354" s="17" t="s">
        <v>384</v>
      </c>
      <c r="E354" s="26" t="e">
        <f>VLOOKUP(C354,#REF!,3,0)</f>
        <v>#REF!</v>
      </c>
      <c r="F354" s="205" t="s">
        <v>2007</v>
      </c>
      <c r="G354" s="25" t="s">
        <v>1913</v>
      </c>
      <c r="H354" s="25"/>
      <c r="I354" s="35">
        <v>16</v>
      </c>
      <c r="J354" s="36"/>
      <c r="K354" s="37"/>
      <c r="L354" s="38"/>
      <c r="M354" s="39" t="s">
        <v>1250</v>
      </c>
      <c r="N354" s="44">
        <v>800</v>
      </c>
      <c r="O354" s="25" t="s">
        <v>1310</v>
      </c>
      <c r="P354" s="34" t="s">
        <v>2008</v>
      </c>
    </row>
    <row r="355" spans="2:16" ht="27.75" customHeight="1">
      <c r="B355" s="25">
        <f t="shared" si="5"/>
        <v>340</v>
      </c>
      <c r="C355" s="42" t="s">
        <v>386</v>
      </c>
      <c r="D355" s="17" t="s">
        <v>386</v>
      </c>
      <c r="E355" s="26" t="e">
        <f>VLOOKUP(C355,#REF!,3,0)</f>
        <v>#REF!</v>
      </c>
      <c r="F355" s="205" t="s">
        <v>2009</v>
      </c>
      <c r="G355" s="25" t="s">
        <v>2010</v>
      </c>
      <c r="H355" s="25"/>
      <c r="I355" s="35">
        <v>4</v>
      </c>
      <c r="J355" s="36" t="s">
        <v>1256</v>
      </c>
      <c r="K355" s="37"/>
      <c r="L355" s="38"/>
      <c r="M355" s="39"/>
      <c r="N355" s="44">
        <v>800</v>
      </c>
      <c r="O355" s="25" t="s">
        <v>1310</v>
      </c>
      <c r="P355" s="34" t="s">
        <v>2011</v>
      </c>
    </row>
    <row r="356" spans="2:16" ht="27.75" customHeight="1">
      <c r="B356" s="25">
        <f t="shared" si="5"/>
        <v>341</v>
      </c>
      <c r="C356" s="42" t="s">
        <v>387</v>
      </c>
      <c r="D356" s="17" t="s">
        <v>387</v>
      </c>
      <c r="E356" s="26" t="e">
        <f>VLOOKUP(C356,#REF!,3,0)</f>
        <v>#REF!</v>
      </c>
      <c r="F356" s="205" t="s">
        <v>2012</v>
      </c>
      <c r="G356" s="25" t="s">
        <v>1955</v>
      </c>
      <c r="H356" s="25" t="s">
        <v>1215</v>
      </c>
      <c r="I356" s="35">
        <v>4</v>
      </c>
      <c r="J356" s="36" t="s">
        <v>1256</v>
      </c>
      <c r="K356" s="37"/>
      <c r="L356" s="38"/>
      <c r="M356" s="39"/>
      <c r="N356" s="44">
        <v>800</v>
      </c>
      <c r="O356" s="25" t="s">
        <v>1310</v>
      </c>
      <c r="P356" s="34" t="s">
        <v>2013</v>
      </c>
    </row>
    <row r="357" spans="2:16" ht="27.75" customHeight="1">
      <c r="B357" s="25">
        <f t="shared" si="5"/>
        <v>342</v>
      </c>
      <c r="C357" s="42" t="s">
        <v>389</v>
      </c>
      <c r="D357" s="17" t="s">
        <v>389</v>
      </c>
      <c r="E357" s="26" t="e">
        <f>VLOOKUP(C357,#REF!,3,0)</f>
        <v>#REF!</v>
      </c>
      <c r="F357" s="205" t="s">
        <v>2012</v>
      </c>
      <c r="G357" s="25" t="s">
        <v>1958</v>
      </c>
      <c r="H357" s="25"/>
      <c r="I357" s="35">
        <v>4</v>
      </c>
      <c r="J357" s="36" t="s">
        <v>1256</v>
      </c>
      <c r="K357" s="37"/>
      <c r="L357" s="38"/>
      <c r="M357" s="39"/>
      <c r="N357" s="44">
        <v>800</v>
      </c>
      <c r="O357" s="25" t="s">
        <v>1310</v>
      </c>
      <c r="P357" s="34" t="s">
        <v>1927</v>
      </c>
    </row>
    <row r="358" spans="2:16" ht="27.75" customHeight="1">
      <c r="B358" s="25">
        <f t="shared" si="5"/>
        <v>343</v>
      </c>
      <c r="C358" s="42" t="s">
        <v>390</v>
      </c>
      <c r="D358" s="17" t="s">
        <v>390</v>
      </c>
      <c r="E358" s="26" t="e">
        <f>VLOOKUP(C358,#REF!,3,0)</f>
        <v>#REF!</v>
      </c>
      <c r="F358" s="205" t="s">
        <v>2014</v>
      </c>
      <c r="G358" s="25" t="s">
        <v>1961</v>
      </c>
      <c r="H358" s="25"/>
      <c r="I358" s="35">
        <v>8</v>
      </c>
      <c r="J358" s="36" t="s">
        <v>1256</v>
      </c>
      <c r="K358" s="37"/>
      <c r="L358" s="38"/>
      <c r="M358" s="39"/>
      <c r="N358" s="44">
        <v>800</v>
      </c>
      <c r="O358" s="25" t="s">
        <v>1310</v>
      </c>
      <c r="P358" s="34" t="s">
        <v>1999</v>
      </c>
    </row>
    <row r="359" spans="2:16" ht="27.75" customHeight="1">
      <c r="B359" s="25">
        <f t="shared" si="5"/>
        <v>344</v>
      </c>
      <c r="C359" s="42" t="s">
        <v>391</v>
      </c>
      <c r="D359" s="17" t="s">
        <v>391</v>
      </c>
      <c r="E359" s="26" t="e">
        <f>VLOOKUP(C359,#REF!,3,0)</f>
        <v>#REF!</v>
      </c>
      <c r="F359" s="205" t="s">
        <v>2015</v>
      </c>
      <c r="G359" s="25" t="s">
        <v>2016</v>
      </c>
      <c r="H359" s="25"/>
      <c r="I359" s="35">
        <v>8</v>
      </c>
      <c r="J359" s="36" t="s">
        <v>1256</v>
      </c>
      <c r="K359" s="37"/>
      <c r="L359" s="38"/>
      <c r="M359" s="39"/>
      <c r="N359" s="44">
        <v>1000</v>
      </c>
      <c r="O359" s="25" t="s">
        <v>1310</v>
      </c>
      <c r="P359" s="34" t="s">
        <v>1993</v>
      </c>
    </row>
    <row r="360" spans="2:16" ht="27.75" customHeight="1">
      <c r="B360" s="25">
        <f t="shared" si="5"/>
        <v>345</v>
      </c>
      <c r="C360" s="42" t="s">
        <v>659</v>
      </c>
      <c r="D360" s="17" t="s">
        <v>659</v>
      </c>
      <c r="E360" s="26" t="e">
        <f>VLOOKUP(C360,#REF!,3,0)</f>
        <v>#REF!</v>
      </c>
      <c r="F360" s="205" t="s">
        <v>2002</v>
      </c>
      <c r="G360" s="25" t="s">
        <v>1907</v>
      </c>
      <c r="H360" s="25"/>
      <c r="I360" s="35">
        <v>8</v>
      </c>
      <c r="J360" s="36" t="s">
        <v>1256</v>
      </c>
      <c r="K360" s="37"/>
      <c r="L360" s="38"/>
      <c r="M360" s="39"/>
      <c r="N360" s="44">
        <v>800</v>
      </c>
      <c r="O360" s="25" t="s">
        <v>1310</v>
      </c>
      <c r="P360" s="34" t="s">
        <v>2017</v>
      </c>
    </row>
    <row r="361" spans="2:16" ht="27.75" customHeight="1">
      <c r="B361" s="25">
        <f t="shared" si="5"/>
        <v>346</v>
      </c>
      <c r="C361" s="42" t="s">
        <v>380</v>
      </c>
      <c r="D361" s="17" t="s">
        <v>380</v>
      </c>
      <c r="E361" s="26" t="e">
        <f>VLOOKUP(C361,#REF!,3,0)</f>
        <v>#REF!</v>
      </c>
      <c r="F361" s="205" t="s">
        <v>2018</v>
      </c>
      <c r="G361" s="25" t="s">
        <v>1916</v>
      </c>
      <c r="H361" s="25"/>
      <c r="I361" s="35">
        <v>16</v>
      </c>
      <c r="J361" s="36" t="s">
        <v>1256</v>
      </c>
      <c r="K361" s="37"/>
      <c r="L361" s="38"/>
      <c r="M361" s="39"/>
      <c r="N361" s="44">
        <v>800</v>
      </c>
      <c r="O361" s="25" t="s">
        <v>1310</v>
      </c>
      <c r="P361" s="34" t="s">
        <v>2019</v>
      </c>
    </row>
    <row r="362" spans="2:16" ht="27.75" customHeight="1">
      <c r="B362" s="25">
        <f t="shared" si="5"/>
        <v>347</v>
      </c>
      <c r="C362" s="42" t="s">
        <v>880</v>
      </c>
      <c r="D362" s="17" t="s">
        <v>880</v>
      </c>
      <c r="E362" s="26" t="e">
        <f>VLOOKUP(C362,#REF!,3,0)</f>
        <v>#REF!</v>
      </c>
      <c r="F362" s="205" t="s">
        <v>2020</v>
      </c>
      <c r="G362" s="25" t="s">
        <v>2021</v>
      </c>
      <c r="H362" s="25" t="s">
        <v>1215</v>
      </c>
      <c r="I362" s="35">
        <v>2</v>
      </c>
      <c r="J362" s="36" t="s">
        <v>1256</v>
      </c>
      <c r="K362" s="37"/>
      <c r="L362" s="38"/>
      <c r="M362" s="39"/>
      <c r="N362" s="44">
        <v>800</v>
      </c>
      <c r="O362" s="25" t="s">
        <v>1310</v>
      </c>
      <c r="P362" s="34" t="s">
        <v>2022</v>
      </c>
    </row>
    <row r="363" spans="2:16" ht="27.75" customHeight="1">
      <c r="B363" s="25">
        <f t="shared" si="5"/>
        <v>348</v>
      </c>
      <c r="C363" s="42" t="s">
        <v>377</v>
      </c>
      <c r="D363" s="17" t="s">
        <v>377</v>
      </c>
      <c r="E363" s="26" t="e">
        <f>VLOOKUP(C363,#REF!,3,0)</f>
        <v>#REF!</v>
      </c>
      <c r="F363" s="205" t="s">
        <v>2023</v>
      </c>
      <c r="G363" s="25" t="s">
        <v>1937</v>
      </c>
      <c r="H363" s="25"/>
      <c r="I363" s="35">
        <v>8</v>
      </c>
      <c r="J363" s="36" t="s">
        <v>1256</v>
      </c>
      <c r="K363" s="37"/>
      <c r="L363" s="38"/>
      <c r="M363" s="39"/>
      <c r="N363" s="62">
        <v>1000000</v>
      </c>
      <c r="O363" s="25" t="s">
        <v>1310</v>
      </c>
      <c r="P363" s="34" t="s">
        <v>2024</v>
      </c>
    </row>
    <row r="364" spans="2:16" ht="27.75" customHeight="1">
      <c r="B364" s="25">
        <f t="shared" si="5"/>
        <v>349</v>
      </c>
      <c r="C364" s="42" t="s">
        <v>385</v>
      </c>
      <c r="D364" s="17" t="s">
        <v>385</v>
      </c>
      <c r="E364" s="26" t="e">
        <f>VLOOKUP(C364,#REF!,3,0)</f>
        <v>#REF!</v>
      </c>
      <c r="F364" s="205" t="s">
        <v>2007</v>
      </c>
      <c r="G364" s="25" t="s">
        <v>1913</v>
      </c>
      <c r="H364" s="25"/>
      <c r="I364" s="35">
        <v>16</v>
      </c>
      <c r="J364" s="36" t="s">
        <v>1256</v>
      </c>
      <c r="K364" s="37"/>
      <c r="L364" s="38"/>
      <c r="M364" s="39"/>
      <c r="N364" s="62">
        <v>500000</v>
      </c>
      <c r="O364" s="25" t="s">
        <v>1310</v>
      </c>
      <c r="P364" s="34" t="s">
        <v>2025</v>
      </c>
    </row>
    <row r="365" spans="2:16" ht="27.75" customHeight="1">
      <c r="B365" s="25">
        <f t="shared" si="5"/>
        <v>350</v>
      </c>
      <c r="C365" s="42" t="s">
        <v>881</v>
      </c>
      <c r="D365" s="17" t="s">
        <v>881</v>
      </c>
      <c r="E365" s="26" t="e">
        <f>VLOOKUP(C365,#REF!,3,0)</f>
        <v>#REF!</v>
      </c>
      <c r="F365" s="205" t="s">
        <v>2026</v>
      </c>
      <c r="G365" s="25" t="s">
        <v>2027</v>
      </c>
      <c r="H365" s="25"/>
      <c r="I365" s="35">
        <v>2</v>
      </c>
      <c r="J365" s="36" t="s">
        <v>1256</v>
      </c>
      <c r="K365" s="37"/>
      <c r="L365" s="38"/>
      <c r="M365" s="39"/>
      <c r="N365" s="62">
        <v>1000000</v>
      </c>
      <c r="O365" s="25" t="s">
        <v>1310</v>
      </c>
      <c r="P365" s="34" t="s">
        <v>2028</v>
      </c>
    </row>
    <row r="366" spans="2:16" ht="27.75" customHeight="1">
      <c r="B366" s="25">
        <f t="shared" si="5"/>
        <v>351</v>
      </c>
      <c r="C366" s="42" t="s">
        <v>383</v>
      </c>
      <c r="D366" s="17" t="s">
        <v>383</v>
      </c>
      <c r="E366" s="26" t="e">
        <f>VLOOKUP(C366,#REF!,3,0)</f>
        <v>#REF!</v>
      </c>
      <c r="F366" s="205" t="s">
        <v>2029</v>
      </c>
      <c r="G366" s="25" t="s">
        <v>1904</v>
      </c>
      <c r="H366" s="25" t="s">
        <v>1215</v>
      </c>
      <c r="I366" s="35">
        <v>4</v>
      </c>
      <c r="J366" s="36" t="s">
        <v>1256</v>
      </c>
      <c r="K366" s="37"/>
      <c r="L366" s="38"/>
      <c r="M366" s="39"/>
      <c r="N366" s="62">
        <v>1000000</v>
      </c>
      <c r="O366" s="25" t="s">
        <v>1310</v>
      </c>
      <c r="P366" s="34" t="s">
        <v>2030</v>
      </c>
    </row>
    <row r="367" spans="2:16" ht="27.75" customHeight="1">
      <c r="B367" s="25">
        <f t="shared" si="5"/>
        <v>352</v>
      </c>
      <c r="C367" s="42" t="s">
        <v>165</v>
      </c>
      <c r="D367" s="17" t="s">
        <v>165</v>
      </c>
      <c r="E367" s="26" t="e">
        <f>VLOOKUP(C367,#REF!,3,0)</f>
        <v>#REF!</v>
      </c>
      <c r="F367" s="205" t="s">
        <v>2031</v>
      </c>
      <c r="G367" s="40" t="s">
        <v>1939</v>
      </c>
      <c r="H367" s="40"/>
      <c r="I367" s="35">
        <v>16</v>
      </c>
      <c r="J367" s="36" t="s">
        <v>1256</v>
      </c>
      <c r="K367" s="37"/>
      <c r="L367" s="38"/>
      <c r="M367" s="39"/>
      <c r="N367" s="62">
        <v>1000000</v>
      </c>
      <c r="O367" s="25" t="s">
        <v>1310</v>
      </c>
      <c r="P367" s="34" t="s">
        <v>1940</v>
      </c>
    </row>
    <row r="368" spans="2:16" ht="27.75" customHeight="1">
      <c r="B368" s="25">
        <f t="shared" si="5"/>
        <v>353</v>
      </c>
      <c r="C368" s="42" t="s">
        <v>369</v>
      </c>
      <c r="D368" s="17" t="s">
        <v>369</v>
      </c>
      <c r="E368" s="26" t="e">
        <f>VLOOKUP(C368,#REF!,3,0)</f>
        <v>#REF!</v>
      </c>
      <c r="F368" s="205" t="s">
        <v>2032</v>
      </c>
      <c r="G368" s="40" t="s">
        <v>2033</v>
      </c>
      <c r="H368" s="40"/>
      <c r="I368" s="35">
        <v>4</v>
      </c>
      <c r="J368" s="36" t="s">
        <v>1256</v>
      </c>
      <c r="K368" s="37"/>
      <c r="L368" s="38"/>
      <c r="M368" s="39"/>
      <c r="N368" s="62">
        <v>1000000</v>
      </c>
      <c r="O368" s="25" t="s">
        <v>1310</v>
      </c>
      <c r="P368" s="34" t="s">
        <v>1834</v>
      </c>
    </row>
    <row r="369" spans="2:16" ht="27.75" customHeight="1">
      <c r="B369" s="25">
        <f t="shared" si="5"/>
        <v>354</v>
      </c>
      <c r="C369" s="42" t="s">
        <v>882</v>
      </c>
      <c r="D369" s="17" t="s">
        <v>882</v>
      </c>
      <c r="E369" s="26" t="e">
        <f>VLOOKUP(C369,#REF!,3,0)</f>
        <v>#REF!</v>
      </c>
      <c r="F369" s="205" t="s">
        <v>2034</v>
      </c>
      <c r="G369" s="40" t="s">
        <v>2035</v>
      </c>
      <c r="H369" s="40"/>
      <c r="I369" s="35">
        <v>8</v>
      </c>
      <c r="J369" s="36" t="s">
        <v>1256</v>
      </c>
      <c r="K369" s="37"/>
      <c r="L369" s="38"/>
      <c r="M369" s="39"/>
      <c r="N369" s="62">
        <v>1000000</v>
      </c>
      <c r="O369" s="25" t="s">
        <v>1310</v>
      </c>
      <c r="P369" s="34" t="s">
        <v>2036</v>
      </c>
    </row>
    <row r="370" spans="2:16" ht="27.75" customHeight="1">
      <c r="B370" s="25">
        <f t="shared" si="5"/>
        <v>355</v>
      </c>
      <c r="C370" s="42" t="s">
        <v>388</v>
      </c>
      <c r="D370" s="17" t="s">
        <v>388</v>
      </c>
      <c r="E370" s="26" t="e">
        <f>VLOOKUP(C370,#REF!,3,0)</f>
        <v>#REF!</v>
      </c>
      <c r="F370" s="205" t="s">
        <v>2037</v>
      </c>
      <c r="G370" s="40" t="s">
        <v>2033</v>
      </c>
      <c r="H370" s="40" t="s">
        <v>1215</v>
      </c>
      <c r="I370" s="35">
        <v>4</v>
      </c>
      <c r="J370" s="36" t="s">
        <v>1256</v>
      </c>
      <c r="K370" s="37"/>
      <c r="L370" s="38"/>
      <c r="M370" s="39"/>
      <c r="N370" s="62">
        <v>1000000</v>
      </c>
      <c r="O370" s="25" t="s">
        <v>1310</v>
      </c>
      <c r="P370" s="34" t="s">
        <v>2038</v>
      </c>
    </row>
    <row r="371" spans="2:16" ht="27.75" customHeight="1">
      <c r="B371" s="25">
        <f t="shared" si="5"/>
        <v>356</v>
      </c>
      <c r="C371" s="42" t="s">
        <v>887</v>
      </c>
      <c r="D371" s="17" t="s">
        <v>887</v>
      </c>
      <c r="E371" s="26" t="e">
        <f>VLOOKUP(C371,#REF!,3,0)</f>
        <v>#REF!</v>
      </c>
      <c r="F371" s="205" t="s">
        <v>2039</v>
      </c>
      <c r="G371" s="40" t="s">
        <v>1907</v>
      </c>
      <c r="H371" s="40"/>
      <c r="I371" s="35">
        <v>1</v>
      </c>
      <c r="J371" s="36" t="s">
        <v>1256</v>
      </c>
      <c r="K371" s="37"/>
      <c r="L371" s="38"/>
      <c r="M371" s="39"/>
      <c r="N371" s="62">
        <v>1000000</v>
      </c>
      <c r="O371" s="25" t="s">
        <v>1310</v>
      </c>
      <c r="P371" s="34" t="s">
        <v>2040</v>
      </c>
    </row>
    <row r="372" spans="2:16" ht="27.75" customHeight="1">
      <c r="B372" s="25">
        <f t="shared" si="5"/>
        <v>357</v>
      </c>
      <c r="C372" s="42" t="s">
        <v>883</v>
      </c>
      <c r="D372" s="17" t="s">
        <v>883</v>
      </c>
      <c r="E372" s="26" t="e">
        <f>VLOOKUP(C372,#REF!,3,0)</f>
        <v>#REF!</v>
      </c>
      <c r="F372" s="205" t="s">
        <v>2041</v>
      </c>
      <c r="G372" s="40" t="s">
        <v>2042</v>
      </c>
      <c r="H372" s="40"/>
      <c r="I372" s="35">
        <v>1</v>
      </c>
      <c r="J372" s="36" t="s">
        <v>1256</v>
      </c>
      <c r="K372" s="37"/>
      <c r="L372" s="38"/>
      <c r="M372" s="39"/>
      <c r="N372" s="62">
        <v>1000000</v>
      </c>
      <c r="O372" s="25" t="s">
        <v>1854</v>
      </c>
      <c r="P372" s="34" t="s">
        <v>2043</v>
      </c>
    </row>
    <row r="373" spans="2:16" ht="27.75" customHeight="1">
      <c r="B373" s="25">
        <f t="shared" si="5"/>
        <v>358</v>
      </c>
      <c r="C373" s="42" t="s">
        <v>884</v>
      </c>
      <c r="D373" s="17" t="s">
        <v>884</v>
      </c>
      <c r="E373" s="26" t="e">
        <f>VLOOKUP(C373,#REF!,3,0)</f>
        <v>#REF!</v>
      </c>
      <c r="F373" s="205" t="s">
        <v>2044</v>
      </c>
      <c r="G373" s="40" t="s">
        <v>2045</v>
      </c>
      <c r="H373" s="40"/>
      <c r="I373" s="35">
        <v>1</v>
      </c>
      <c r="J373" s="36" t="s">
        <v>1256</v>
      </c>
      <c r="K373" s="37"/>
      <c r="L373" s="38"/>
      <c r="M373" s="39"/>
      <c r="N373" s="62">
        <v>1000000</v>
      </c>
      <c r="O373" s="25" t="s">
        <v>1854</v>
      </c>
      <c r="P373" s="34" t="s">
        <v>2046</v>
      </c>
    </row>
    <row r="374" spans="2:16" ht="27.75" customHeight="1">
      <c r="B374" s="25">
        <f t="shared" si="5"/>
        <v>359</v>
      </c>
      <c r="C374" s="42" t="s">
        <v>888</v>
      </c>
      <c r="D374" s="17" t="s">
        <v>888</v>
      </c>
      <c r="E374" s="26" t="e">
        <f>VLOOKUP(C374,#REF!,3,0)</f>
        <v>#REF!</v>
      </c>
      <c r="F374" s="205" t="s">
        <v>2047</v>
      </c>
      <c r="G374" s="40" t="s">
        <v>1907</v>
      </c>
      <c r="H374" s="40"/>
      <c r="I374" s="35">
        <v>1</v>
      </c>
      <c r="J374" s="36" t="s">
        <v>1256</v>
      </c>
      <c r="K374" s="37"/>
      <c r="L374" s="38"/>
      <c r="M374" s="39"/>
      <c r="N374" s="62">
        <v>1000000</v>
      </c>
      <c r="O374" s="25" t="s">
        <v>1310</v>
      </c>
      <c r="P374" s="34" t="s">
        <v>1794</v>
      </c>
    </row>
    <row r="375" spans="2:16" ht="27.75" customHeight="1">
      <c r="B375" s="25">
        <f t="shared" si="5"/>
        <v>360</v>
      </c>
      <c r="C375" s="42" t="s">
        <v>889</v>
      </c>
      <c r="D375" s="17" t="s">
        <v>889</v>
      </c>
      <c r="E375" s="26" t="e">
        <f>VLOOKUP(C375,#REF!,3,0)</f>
        <v>#REF!</v>
      </c>
      <c r="F375" s="205" t="s">
        <v>2048</v>
      </c>
      <c r="G375" s="40" t="s">
        <v>2049</v>
      </c>
      <c r="H375" s="40"/>
      <c r="I375" s="35">
        <v>2</v>
      </c>
      <c r="J375" s="36" t="s">
        <v>1256</v>
      </c>
      <c r="K375" s="37"/>
      <c r="L375" s="38"/>
      <c r="M375" s="39"/>
      <c r="N375" s="62">
        <v>1000000</v>
      </c>
      <c r="O375" s="25" t="s">
        <v>1854</v>
      </c>
      <c r="P375" s="34" t="s">
        <v>2050</v>
      </c>
    </row>
    <row r="376" spans="2:16" ht="27.75" customHeight="1">
      <c r="B376" s="25">
        <f t="shared" si="5"/>
        <v>361</v>
      </c>
      <c r="C376" s="42" t="s">
        <v>890</v>
      </c>
      <c r="D376" s="17" t="s">
        <v>890</v>
      </c>
      <c r="E376" s="26" t="e">
        <f>VLOOKUP(C376,#REF!,3,0)</f>
        <v>#REF!</v>
      </c>
      <c r="F376" s="205" t="s">
        <v>2051</v>
      </c>
      <c r="G376" s="40" t="s">
        <v>2052</v>
      </c>
      <c r="H376" s="40"/>
      <c r="I376" s="35">
        <v>2</v>
      </c>
      <c r="J376" s="36" t="s">
        <v>1256</v>
      </c>
      <c r="K376" s="37"/>
      <c r="L376" s="38"/>
      <c r="M376" s="39"/>
      <c r="N376" s="62">
        <v>1000000</v>
      </c>
      <c r="O376" s="25" t="s">
        <v>1854</v>
      </c>
      <c r="P376" s="34" t="s">
        <v>2053</v>
      </c>
    </row>
    <row r="377" spans="2:16" ht="27.75" customHeight="1">
      <c r="B377" s="25">
        <f t="shared" si="5"/>
        <v>362</v>
      </c>
      <c r="C377" s="42" t="s">
        <v>885</v>
      </c>
      <c r="D377" s="17" t="s">
        <v>885</v>
      </c>
      <c r="E377" s="26" t="e">
        <f>VLOOKUP(C377,#REF!,3,0)</f>
        <v>#REF!</v>
      </c>
      <c r="F377" s="205" t="s">
        <v>2054</v>
      </c>
      <c r="G377" s="40" t="s">
        <v>2055</v>
      </c>
      <c r="H377" s="40" t="s">
        <v>1215</v>
      </c>
      <c r="I377" s="35">
        <v>1</v>
      </c>
      <c r="J377" s="36" t="s">
        <v>1256</v>
      </c>
      <c r="K377" s="37"/>
      <c r="L377" s="38"/>
      <c r="M377" s="39"/>
      <c r="N377" s="62">
        <v>1000000</v>
      </c>
      <c r="O377" s="25" t="s">
        <v>1310</v>
      </c>
      <c r="P377" s="34" t="s">
        <v>1774</v>
      </c>
    </row>
    <row r="378" spans="2:16" ht="27.75" customHeight="1">
      <c r="B378" s="25"/>
      <c r="C378" s="42" t="s">
        <v>886</v>
      </c>
      <c r="D378" s="17" t="s">
        <v>885</v>
      </c>
      <c r="E378" s="26" t="s">
        <v>1204</v>
      </c>
      <c r="F378" s="205"/>
      <c r="G378" s="40"/>
      <c r="H378" s="40"/>
      <c r="I378" s="35"/>
      <c r="J378" s="36"/>
      <c r="K378" s="37"/>
      <c r="L378" s="38"/>
      <c r="M378" s="39"/>
      <c r="N378" s="62"/>
      <c r="O378" s="25"/>
      <c r="P378" s="34"/>
    </row>
    <row r="379" spans="2:16" ht="27.75" customHeight="1">
      <c r="B379" s="25">
        <f>B377+1</f>
        <v>363</v>
      </c>
      <c r="C379" s="42" t="s">
        <v>891</v>
      </c>
      <c r="D379" s="17" t="s">
        <v>891</v>
      </c>
      <c r="E379" s="26" t="e">
        <f>VLOOKUP(C379,#REF!,3,0)</f>
        <v>#REF!</v>
      </c>
      <c r="F379" s="205" t="s">
        <v>2056</v>
      </c>
      <c r="G379" s="40" t="s">
        <v>1907</v>
      </c>
      <c r="H379" s="40"/>
      <c r="I379" s="35">
        <v>1</v>
      </c>
      <c r="J379" s="36" t="s">
        <v>1256</v>
      </c>
      <c r="K379" s="37"/>
      <c r="L379" s="38"/>
      <c r="M379" s="39"/>
      <c r="N379" s="62">
        <v>1000000</v>
      </c>
      <c r="O379" s="25" t="s">
        <v>1310</v>
      </c>
      <c r="P379" s="34" t="s">
        <v>2057</v>
      </c>
    </row>
    <row r="380" spans="2:16" ht="27.75" customHeight="1">
      <c r="B380" s="25">
        <f t="shared" si="5"/>
        <v>364</v>
      </c>
      <c r="C380" s="42" t="s">
        <v>892</v>
      </c>
      <c r="D380" s="17" t="s">
        <v>892</v>
      </c>
      <c r="E380" s="26" t="e">
        <f>VLOOKUP(C380,#REF!,3,0)</f>
        <v>#REF!</v>
      </c>
      <c r="F380" s="205" t="s">
        <v>2058</v>
      </c>
      <c r="G380" s="40" t="s">
        <v>2059</v>
      </c>
      <c r="H380" s="40"/>
      <c r="I380" s="35">
        <v>1</v>
      </c>
      <c r="J380" s="36" t="s">
        <v>1256</v>
      </c>
      <c r="K380" s="37"/>
      <c r="L380" s="38"/>
      <c r="M380" s="39"/>
      <c r="N380" s="62">
        <v>1000000</v>
      </c>
      <c r="O380" s="25" t="s">
        <v>1310</v>
      </c>
      <c r="P380" s="34" t="s">
        <v>2060</v>
      </c>
    </row>
    <row r="381" spans="2:16" ht="27.75" customHeight="1">
      <c r="B381" s="25"/>
      <c r="C381" s="42" t="s">
        <v>894</v>
      </c>
      <c r="D381" s="17" t="s">
        <v>892</v>
      </c>
      <c r="E381" s="26" t="e">
        <f>VLOOKUP(C381,#REF!,3,0)</f>
        <v>#REF!</v>
      </c>
      <c r="F381" s="205" t="s">
        <v>2061</v>
      </c>
      <c r="G381" s="40" t="s">
        <v>2062</v>
      </c>
      <c r="H381" s="40"/>
      <c r="I381" s="35">
        <v>1</v>
      </c>
      <c r="J381" s="36" t="s">
        <v>1256</v>
      </c>
      <c r="K381" s="37"/>
      <c r="L381" s="38"/>
      <c r="M381" s="39"/>
      <c r="N381" s="62">
        <v>1000000</v>
      </c>
      <c r="O381" s="25" t="s">
        <v>1310</v>
      </c>
      <c r="P381" s="34" t="s">
        <v>2060</v>
      </c>
    </row>
    <row r="382" spans="2:16" ht="27.75" customHeight="1">
      <c r="B382" s="25"/>
      <c r="C382" s="42" t="s">
        <v>896</v>
      </c>
      <c r="D382" s="17" t="s">
        <v>892</v>
      </c>
      <c r="E382" s="26" t="e">
        <f>VLOOKUP(C382,#REF!,3,0)</f>
        <v>#REF!</v>
      </c>
      <c r="F382" s="205" t="s">
        <v>2063</v>
      </c>
      <c r="G382" s="40" t="s">
        <v>2064</v>
      </c>
      <c r="H382" s="40"/>
      <c r="I382" s="35">
        <v>1</v>
      </c>
      <c r="J382" s="36" t="s">
        <v>1256</v>
      </c>
      <c r="K382" s="37"/>
      <c r="L382" s="38"/>
      <c r="M382" s="39"/>
      <c r="N382" s="62">
        <v>1000000</v>
      </c>
      <c r="O382" s="25" t="s">
        <v>1310</v>
      </c>
      <c r="P382" s="34" t="s">
        <v>2060</v>
      </c>
    </row>
    <row r="383" spans="2:16" ht="27.75" customHeight="1">
      <c r="B383" s="25">
        <v>365</v>
      </c>
      <c r="C383" s="42" t="s">
        <v>893</v>
      </c>
      <c r="D383" s="17" t="s">
        <v>893</v>
      </c>
      <c r="E383" s="26" t="e">
        <f>VLOOKUP(C383,#REF!,3,0)</f>
        <v>#REF!</v>
      </c>
      <c r="F383" s="205" t="s">
        <v>2065</v>
      </c>
      <c r="G383" s="40" t="s">
        <v>2066</v>
      </c>
      <c r="H383" s="40" t="s">
        <v>1215</v>
      </c>
      <c r="I383" s="35">
        <v>1</v>
      </c>
      <c r="J383" s="36" t="s">
        <v>1256</v>
      </c>
      <c r="K383" s="37"/>
      <c r="L383" s="38"/>
      <c r="M383" s="39"/>
      <c r="N383" s="62">
        <v>1000000</v>
      </c>
      <c r="O383" s="25" t="s">
        <v>1310</v>
      </c>
      <c r="P383" s="34" t="s">
        <v>2060</v>
      </c>
    </row>
    <row r="384" spans="2:16" ht="27.75" customHeight="1">
      <c r="B384" s="25"/>
      <c r="C384" s="42" t="s">
        <v>895</v>
      </c>
      <c r="D384" s="17" t="s">
        <v>893</v>
      </c>
      <c r="E384" s="26" t="e">
        <f>VLOOKUP(C384,#REF!,3,0)</f>
        <v>#REF!</v>
      </c>
      <c r="F384" s="205" t="s">
        <v>2067</v>
      </c>
      <c r="G384" s="40" t="s">
        <v>2068</v>
      </c>
      <c r="H384" s="40" t="s">
        <v>1215</v>
      </c>
      <c r="I384" s="35">
        <v>1</v>
      </c>
      <c r="J384" s="36" t="s">
        <v>1256</v>
      </c>
      <c r="K384" s="37"/>
      <c r="L384" s="38"/>
      <c r="M384" s="39"/>
      <c r="N384" s="62">
        <v>1000000</v>
      </c>
      <c r="O384" s="25" t="s">
        <v>1310</v>
      </c>
      <c r="P384" s="34" t="s">
        <v>2060</v>
      </c>
    </row>
    <row r="385" spans="2:16" ht="27.75" customHeight="1">
      <c r="B385" s="25"/>
      <c r="C385" s="42" t="s">
        <v>897</v>
      </c>
      <c r="D385" s="17" t="s">
        <v>893</v>
      </c>
      <c r="E385" s="26" t="e">
        <f>VLOOKUP(C385,#REF!,3,0)</f>
        <v>#REF!</v>
      </c>
      <c r="F385" s="205" t="s">
        <v>2069</v>
      </c>
      <c r="G385" s="40" t="s">
        <v>2070</v>
      </c>
      <c r="H385" s="40" t="s">
        <v>1215</v>
      </c>
      <c r="I385" s="35">
        <v>1</v>
      </c>
      <c r="J385" s="36" t="s">
        <v>1256</v>
      </c>
      <c r="K385" s="37"/>
      <c r="L385" s="38"/>
      <c r="M385" s="39"/>
      <c r="N385" s="62">
        <v>1000000</v>
      </c>
      <c r="O385" s="25" t="s">
        <v>1310</v>
      </c>
      <c r="P385" s="34" t="s">
        <v>2060</v>
      </c>
    </row>
    <row r="386" spans="2:16" ht="27.75" customHeight="1">
      <c r="B386" s="25">
        <v>366</v>
      </c>
      <c r="C386" s="42" t="s">
        <v>951</v>
      </c>
      <c r="D386" s="17" t="s">
        <v>951</v>
      </c>
      <c r="E386" s="26" t="e">
        <f>VLOOKUP(C386,#REF!,3,0)</f>
        <v>#REF!</v>
      </c>
      <c r="F386" s="205" t="s">
        <v>2071</v>
      </c>
      <c r="G386" s="40" t="s">
        <v>2072</v>
      </c>
      <c r="H386" s="40" t="s">
        <v>1215</v>
      </c>
      <c r="I386" s="35">
        <v>4</v>
      </c>
      <c r="J386" s="36"/>
      <c r="K386" s="37"/>
      <c r="L386" s="38"/>
      <c r="M386" s="39" t="s">
        <v>1250</v>
      </c>
      <c r="N386" s="62">
        <v>1000000</v>
      </c>
      <c r="O386" s="25" t="s">
        <v>1257</v>
      </c>
      <c r="P386" s="34" t="s">
        <v>2073</v>
      </c>
    </row>
    <row r="387" spans="2:16" ht="27.75" customHeight="1">
      <c r="B387" s="25">
        <f t="shared" si="5"/>
        <v>367</v>
      </c>
      <c r="C387" s="42" t="s">
        <v>918</v>
      </c>
      <c r="D387" s="17" t="s">
        <v>918</v>
      </c>
      <c r="E387" s="26" t="e">
        <f>VLOOKUP(C387,#REF!,3,0)</f>
        <v>#REF!</v>
      </c>
      <c r="F387" s="205" t="s">
        <v>2074</v>
      </c>
      <c r="G387" s="40" t="s">
        <v>2055</v>
      </c>
      <c r="H387" s="40"/>
      <c r="I387" s="35">
        <v>4</v>
      </c>
      <c r="J387" s="36" t="s">
        <v>1256</v>
      </c>
      <c r="K387" s="37"/>
      <c r="L387" s="38"/>
      <c r="M387" s="39"/>
      <c r="N387" s="62">
        <v>1000000</v>
      </c>
      <c r="O387" s="25" t="s">
        <v>1431</v>
      </c>
      <c r="P387" s="34" t="s">
        <v>2075</v>
      </c>
    </row>
    <row r="388" spans="2:16" ht="27.75" customHeight="1">
      <c r="B388" s="25">
        <f t="shared" si="5"/>
        <v>368</v>
      </c>
      <c r="C388" s="42" t="s">
        <v>919</v>
      </c>
      <c r="D388" s="17" t="s">
        <v>919</v>
      </c>
      <c r="E388" s="26" t="e">
        <f>VLOOKUP(C388,#REF!,3,0)</f>
        <v>#REF!</v>
      </c>
      <c r="F388" s="205" t="s">
        <v>2076</v>
      </c>
      <c r="G388" s="40" t="s">
        <v>1907</v>
      </c>
      <c r="H388" s="40"/>
      <c r="I388" s="35">
        <v>8</v>
      </c>
      <c r="J388" s="36" t="s">
        <v>1256</v>
      </c>
      <c r="K388" s="37"/>
      <c r="L388" s="38"/>
      <c r="M388" s="39"/>
      <c r="N388" s="62">
        <v>1000000</v>
      </c>
      <c r="O388" s="25" t="s">
        <v>1431</v>
      </c>
      <c r="P388" s="34" t="s">
        <v>2077</v>
      </c>
    </row>
    <row r="389" spans="2:16" ht="27.75" customHeight="1">
      <c r="B389" s="25">
        <f t="shared" si="5"/>
        <v>369</v>
      </c>
      <c r="C389" s="42" t="s">
        <v>920</v>
      </c>
      <c r="D389" s="17" t="s">
        <v>920</v>
      </c>
      <c r="E389" s="26" t="e">
        <f>VLOOKUP(C389,#REF!,3,0)</f>
        <v>#REF!</v>
      </c>
      <c r="F389" s="205" t="s">
        <v>2078</v>
      </c>
      <c r="G389" s="40" t="s">
        <v>2079</v>
      </c>
      <c r="H389" s="40"/>
      <c r="I389" s="35">
        <v>4</v>
      </c>
      <c r="J389" s="36" t="s">
        <v>1256</v>
      </c>
      <c r="K389" s="37"/>
      <c r="L389" s="38"/>
      <c r="M389" s="39"/>
      <c r="N389" s="62">
        <v>1000000</v>
      </c>
      <c r="O389" s="25" t="s">
        <v>1431</v>
      </c>
      <c r="P389" s="34" t="s">
        <v>2080</v>
      </c>
    </row>
    <row r="390" spans="2:16" ht="27.75" customHeight="1">
      <c r="B390" s="25">
        <f t="shared" si="5"/>
        <v>370</v>
      </c>
      <c r="C390" s="42" t="s">
        <v>921</v>
      </c>
      <c r="D390" s="17" t="s">
        <v>921</v>
      </c>
      <c r="E390" s="26" t="e">
        <f>VLOOKUP(C390,#REF!,3,0)</f>
        <v>#REF!</v>
      </c>
      <c r="F390" s="205" t="s">
        <v>2081</v>
      </c>
      <c r="G390" s="40" t="s">
        <v>2082</v>
      </c>
      <c r="H390" s="40" t="s">
        <v>1215</v>
      </c>
      <c r="I390" s="35">
        <v>4</v>
      </c>
      <c r="J390" s="36" t="s">
        <v>1256</v>
      </c>
      <c r="K390" s="37"/>
      <c r="L390" s="38"/>
      <c r="M390" s="39"/>
      <c r="N390" s="62">
        <v>1000000</v>
      </c>
      <c r="O390" s="25" t="s">
        <v>1431</v>
      </c>
      <c r="P390" s="34" t="s">
        <v>2083</v>
      </c>
    </row>
    <row r="391" spans="2:16" ht="27.75" customHeight="1">
      <c r="B391" s="25">
        <f t="shared" ref="B391:B454" si="6">B390+1</f>
        <v>371</v>
      </c>
      <c r="C391" s="42" t="s">
        <v>922</v>
      </c>
      <c r="D391" s="17" t="s">
        <v>922</v>
      </c>
      <c r="E391" s="26" t="e">
        <f>VLOOKUP(C391,#REF!,3,0)</f>
        <v>#REF!</v>
      </c>
      <c r="F391" s="205" t="s">
        <v>2084</v>
      </c>
      <c r="G391" s="40" t="s">
        <v>2079</v>
      </c>
      <c r="H391" s="40"/>
      <c r="I391" s="35">
        <v>4</v>
      </c>
      <c r="J391" s="36"/>
      <c r="K391" s="37"/>
      <c r="L391" s="38" t="s">
        <v>1582</v>
      </c>
      <c r="M391" s="39"/>
      <c r="N391" s="62">
        <v>1000000</v>
      </c>
      <c r="O391" s="25" t="s">
        <v>1431</v>
      </c>
      <c r="P391" s="34" t="s">
        <v>2085</v>
      </c>
    </row>
    <row r="392" spans="2:16" ht="27.75" customHeight="1">
      <c r="B392" s="25"/>
      <c r="C392" s="42" t="s">
        <v>1085</v>
      </c>
      <c r="D392" s="17" t="s">
        <v>922</v>
      </c>
      <c r="E392" s="26" t="e">
        <f>VLOOKUP(C392,#REF!,3,0)</f>
        <v>#REF!</v>
      </c>
      <c r="F392" s="205" t="s">
        <v>2084</v>
      </c>
      <c r="G392" s="40" t="s">
        <v>2079</v>
      </c>
      <c r="H392" s="40"/>
      <c r="I392" s="35">
        <v>4</v>
      </c>
      <c r="J392" s="36"/>
      <c r="K392" s="37"/>
      <c r="L392" s="38"/>
      <c r="M392" s="39"/>
      <c r="N392" s="62"/>
      <c r="O392" s="25" t="s">
        <v>1431</v>
      </c>
      <c r="P392" s="34"/>
    </row>
    <row r="393" spans="2:16" ht="27.75" customHeight="1">
      <c r="B393" s="25"/>
      <c r="C393" s="42" t="s">
        <v>1095</v>
      </c>
      <c r="D393" s="17" t="s">
        <v>922</v>
      </c>
      <c r="E393" s="26" t="e">
        <f>VLOOKUP(C393,#REF!,3,0)</f>
        <v>#REF!</v>
      </c>
      <c r="F393" s="205" t="s">
        <v>2084</v>
      </c>
      <c r="G393" s="40" t="s">
        <v>2079</v>
      </c>
      <c r="H393" s="40"/>
      <c r="I393" s="35">
        <v>4</v>
      </c>
      <c r="J393" s="36"/>
      <c r="K393" s="37"/>
      <c r="L393" s="38"/>
      <c r="M393" s="39"/>
      <c r="N393" s="62"/>
      <c r="O393" s="25" t="s">
        <v>1431</v>
      </c>
      <c r="P393" s="34"/>
    </row>
    <row r="394" spans="2:16" ht="27.75" customHeight="1">
      <c r="B394" s="25"/>
      <c r="C394" s="42" t="s">
        <v>1096</v>
      </c>
      <c r="D394" s="17" t="s">
        <v>922</v>
      </c>
      <c r="E394" s="26" t="e">
        <f>VLOOKUP(C394,#REF!,3,0)</f>
        <v>#REF!</v>
      </c>
      <c r="F394" s="205" t="s">
        <v>2084</v>
      </c>
      <c r="G394" s="40" t="s">
        <v>2079</v>
      </c>
      <c r="H394" s="40"/>
      <c r="I394" s="35">
        <v>4</v>
      </c>
      <c r="J394" s="36"/>
      <c r="K394" s="37"/>
      <c r="L394" s="38"/>
      <c r="M394" s="39"/>
      <c r="N394" s="62"/>
      <c r="O394" s="25" t="s">
        <v>1431</v>
      </c>
      <c r="P394" s="34"/>
    </row>
    <row r="395" spans="2:16" ht="27.75" customHeight="1">
      <c r="B395" s="25">
        <f>B391+1</f>
        <v>372</v>
      </c>
      <c r="C395" s="42" t="s">
        <v>923</v>
      </c>
      <c r="D395" s="17" t="s">
        <v>923</v>
      </c>
      <c r="E395" s="26" t="e">
        <f>VLOOKUP(C395,#REF!,3,0)</f>
        <v>#REF!</v>
      </c>
      <c r="F395" s="205" t="s">
        <v>2086</v>
      </c>
      <c r="G395" s="40" t="s">
        <v>2082</v>
      </c>
      <c r="H395" s="40"/>
      <c r="I395" s="35">
        <v>4</v>
      </c>
      <c r="J395" s="36"/>
      <c r="K395" s="37"/>
      <c r="L395" s="38" t="s">
        <v>1582</v>
      </c>
      <c r="M395" s="39"/>
      <c r="N395" s="62">
        <v>1000000</v>
      </c>
      <c r="O395" s="25" t="s">
        <v>1431</v>
      </c>
      <c r="P395" s="34" t="s">
        <v>2087</v>
      </c>
    </row>
    <row r="396" spans="2:16" ht="27.75" customHeight="1">
      <c r="B396" s="25"/>
      <c r="C396" s="42" t="s">
        <v>1097</v>
      </c>
      <c r="D396" s="17" t="s">
        <v>923</v>
      </c>
      <c r="E396" s="26" t="e">
        <f>VLOOKUP(C396,#REF!,3,0)</f>
        <v>#REF!</v>
      </c>
      <c r="F396" s="205" t="s">
        <v>2086</v>
      </c>
      <c r="G396" s="40" t="s">
        <v>2082</v>
      </c>
      <c r="H396" s="40"/>
      <c r="I396" s="35">
        <v>4</v>
      </c>
      <c r="J396" s="36"/>
      <c r="K396" s="37"/>
      <c r="L396" s="38"/>
      <c r="M396" s="39"/>
      <c r="N396" s="62"/>
      <c r="O396" s="25" t="s">
        <v>1431</v>
      </c>
      <c r="P396" s="34"/>
    </row>
    <row r="397" spans="2:16" ht="27.75" customHeight="1">
      <c r="B397" s="25"/>
      <c r="C397" s="42" t="s">
        <v>1106</v>
      </c>
      <c r="D397" s="17" t="s">
        <v>923</v>
      </c>
      <c r="E397" s="26" t="e">
        <f>VLOOKUP(C397,#REF!,3,0)</f>
        <v>#REF!</v>
      </c>
      <c r="F397" s="205" t="s">
        <v>2086</v>
      </c>
      <c r="G397" s="40" t="s">
        <v>2082</v>
      </c>
      <c r="H397" s="40"/>
      <c r="I397" s="35">
        <v>4</v>
      </c>
      <c r="J397" s="36"/>
      <c r="K397" s="37"/>
      <c r="L397" s="38"/>
      <c r="M397" s="39"/>
      <c r="N397" s="62"/>
      <c r="O397" s="25" t="s">
        <v>1431</v>
      </c>
      <c r="P397" s="34"/>
    </row>
    <row r="398" spans="2:16" ht="27.75" customHeight="1">
      <c r="B398" s="25"/>
      <c r="C398" s="42" t="s">
        <v>1107</v>
      </c>
      <c r="D398" s="17" t="s">
        <v>923</v>
      </c>
      <c r="E398" s="26" t="e">
        <f>VLOOKUP(C398,#REF!,3,0)</f>
        <v>#REF!</v>
      </c>
      <c r="F398" s="205" t="s">
        <v>2086</v>
      </c>
      <c r="G398" s="40" t="s">
        <v>2082</v>
      </c>
      <c r="H398" s="40"/>
      <c r="I398" s="35">
        <v>4</v>
      </c>
      <c r="J398" s="36"/>
      <c r="K398" s="37"/>
      <c r="L398" s="38"/>
      <c r="M398" s="39"/>
      <c r="N398" s="62"/>
      <c r="O398" s="25" t="s">
        <v>1431</v>
      </c>
      <c r="P398" s="34"/>
    </row>
    <row r="399" spans="2:16" ht="27.75" customHeight="1">
      <c r="B399" s="25"/>
      <c r="C399" s="42" t="s">
        <v>1108</v>
      </c>
      <c r="D399" s="17" t="s">
        <v>923</v>
      </c>
      <c r="E399" s="26" t="e">
        <f>VLOOKUP(C399,#REF!,3,0)</f>
        <v>#REF!</v>
      </c>
      <c r="F399" s="205" t="s">
        <v>2086</v>
      </c>
      <c r="G399" s="40" t="s">
        <v>2082</v>
      </c>
      <c r="H399" s="40"/>
      <c r="I399" s="35">
        <v>4</v>
      </c>
      <c r="J399" s="36"/>
      <c r="K399" s="37"/>
      <c r="L399" s="38"/>
      <c r="M399" s="39"/>
      <c r="N399" s="62"/>
      <c r="O399" s="25" t="s">
        <v>1431</v>
      </c>
      <c r="P399" s="34"/>
    </row>
    <row r="400" spans="2:16" ht="27.75" customHeight="1">
      <c r="B400" s="25">
        <f>B395+1</f>
        <v>373</v>
      </c>
      <c r="C400" s="42" t="s">
        <v>929</v>
      </c>
      <c r="D400" s="17" t="s">
        <v>929</v>
      </c>
      <c r="E400" s="26" t="e">
        <f>VLOOKUP(C400,#REF!,3,0)</f>
        <v>#REF!</v>
      </c>
      <c r="F400" s="205" t="s">
        <v>2088</v>
      </c>
      <c r="G400" s="40" t="s">
        <v>2089</v>
      </c>
      <c r="H400" s="40"/>
      <c r="I400" s="35">
        <v>4</v>
      </c>
      <c r="J400" s="36" t="s">
        <v>1256</v>
      </c>
      <c r="K400" s="37"/>
      <c r="L400" s="38"/>
      <c r="M400" s="39"/>
      <c r="N400" s="62">
        <v>1000000</v>
      </c>
      <c r="O400" s="25" t="s">
        <v>1431</v>
      </c>
      <c r="P400" s="34" t="s">
        <v>2090</v>
      </c>
    </row>
    <row r="401" spans="2:16" ht="27.75" customHeight="1">
      <c r="B401" s="25">
        <f t="shared" si="6"/>
        <v>374</v>
      </c>
      <c r="C401" s="42" t="s">
        <v>943</v>
      </c>
      <c r="D401" s="17" t="s">
        <v>943</v>
      </c>
      <c r="E401" s="26" t="e">
        <f>VLOOKUP(C401,#REF!,3,0)</f>
        <v>#REF!</v>
      </c>
      <c r="F401" s="205" t="s">
        <v>2091</v>
      </c>
      <c r="G401" s="40" t="s">
        <v>2092</v>
      </c>
      <c r="H401" s="40"/>
      <c r="I401" s="35">
        <v>4</v>
      </c>
      <c r="J401" s="36" t="s">
        <v>1256</v>
      </c>
      <c r="K401" s="37"/>
      <c r="L401" s="38"/>
      <c r="M401" s="39"/>
      <c r="N401" s="62">
        <v>1000000</v>
      </c>
      <c r="O401" s="25" t="s">
        <v>1431</v>
      </c>
      <c r="P401" s="34" t="s">
        <v>2093</v>
      </c>
    </row>
    <row r="402" spans="2:16" ht="27.75" customHeight="1">
      <c r="B402" s="25">
        <f t="shared" si="6"/>
        <v>375</v>
      </c>
      <c r="C402" s="42" t="s">
        <v>944</v>
      </c>
      <c r="D402" s="17" t="s">
        <v>944</v>
      </c>
      <c r="E402" s="26" t="e">
        <f>VLOOKUP(C402,#REF!,3,0)</f>
        <v>#REF!</v>
      </c>
      <c r="F402" s="205"/>
      <c r="G402" s="40" t="s">
        <v>2094</v>
      </c>
      <c r="H402" s="40" t="s">
        <v>1215</v>
      </c>
      <c r="I402" s="35">
        <v>2</v>
      </c>
      <c r="J402" s="36" t="s">
        <v>1256</v>
      </c>
      <c r="K402" s="37"/>
      <c r="L402" s="38"/>
      <c r="M402" s="39"/>
      <c r="N402" s="62">
        <v>1000000</v>
      </c>
      <c r="O402" s="25" t="s">
        <v>1431</v>
      </c>
      <c r="P402" s="34"/>
    </row>
    <row r="403" spans="2:16" ht="27.75" customHeight="1">
      <c r="B403" s="25">
        <f t="shared" si="6"/>
        <v>376</v>
      </c>
      <c r="C403" s="42" t="s">
        <v>948</v>
      </c>
      <c r="D403" s="17" t="s">
        <v>948</v>
      </c>
      <c r="E403" s="26" t="e">
        <f>VLOOKUP(C403,#REF!,3,0)</f>
        <v>#REF!</v>
      </c>
      <c r="F403" s="205" t="s">
        <v>3763</v>
      </c>
      <c r="G403" s="40" t="s">
        <v>2095</v>
      </c>
      <c r="H403" s="40" t="s">
        <v>1215</v>
      </c>
      <c r="I403" s="35">
        <v>2</v>
      </c>
      <c r="J403" s="36"/>
      <c r="K403" s="37"/>
      <c r="L403" s="38" t="s">
        <v>1582</v>
      </c>
      <c r="M403" s="39"/>
      <c r="N403" s="62">
        <v>1000000</v>
      </c>
      <c r="O403" s="25" t="s">
        <v>1431</v>
      </c>
      <c r="P403" s="34"/>
    </row>
    <row r="404" spans="2:16" ht="27.75" customHeight="1">
      <c r="B404" s="25"/>
      <c r="C404" s="42" t="s">
        <v>1109</v>
      </c>
      <c r="D404" s="17" t="s">
        <v>948</v>
      </c>
      <c r="E404" s="26" t="e">
        <f>VLOOKUP(C404,#REF!,3,0)</f>
        <v>#REF!</v>
      </c>
      <c r="F404" s="205"/>
      <c r="G404" s="40" t="s">
        <v>2095</v>
      </c>
      <c r="H404" s="40" t="s">
        <v>1215</v>
      </c>
      <c r="I404" s="35">
        <v>2</v>
      </c>
      <c r="J404" s="36"/>
      <c r="K404" s="37"/>
      <c r="L404" s="38"/>
      <c r="M404" s="39"/>
      <c r="N404" s="62"/>
      <c r="O404" s="25" t="s">
        <v>1431</v>
      </c>
      <c r="P404" s="34"/>
    </row>
    <row r="405" spans="2:16" ht="27.75" customHeight="1">
      <c r="B405" s="25"/>
      <c r="C405" s="42" t="s">
        <v>1116</v>
      </c>
      <c r="D405" s="17" t="s">
        <v>948</v>
      </c>
      <c r="E405" s="26" t="e">
        <f>VLOOKUP(C405,#REF!,3,0)</f>
        <v>#REF!</v>
      </c>
      <c r="F405" s="205"/>
      <c r="G405" s="40" t="s">
        <v>2095</v>
      </c>
      <c r="H405" s="40" t="s">
        <v>1215</v>
      </c>
      <c r="I405" s="35">
        <v>2</v>
      </c>
      <c r="J405" s="36"/>
      <c r="K405" s="37"/>
      <c r="L405" s="38"/>
      <c r="M405" s="39"/>
      <c r="N405" s="62"/>
      <c r="O405" s="25" t="s">
        <v>1431</v>
      </c>
      <c r="P405" s="34"/>
    </row>
    <row r="406" spans="2:16" ht="27.75" customHeight="1">
      <c r="B406" s="25"/>
      <c r="C406" s="42" t="s">
        <v>1117</v>
      </c>
      <c r="D406" s="17" t="s">
        <v>948</v>
      </c>
      <c r="E406" s="26" t="e">
        <f>VLOOKUP(C406,#REF!,3,0)</f>
        <v>#REF!</v>
      </c>
      <c r="F406" s="205"/>
      <c r="G406" s="40" t="s">
        <v>2095</v>
      </c>
      <c r="H406" s="40" t="s">
        <v>1215</v>
      </c>
      <c r="I406" s="35">
        <v>2</v>
      </c>
      <c r="J406" s="36"/>
      <c r="K406" s="37"/>
      <c r="L406" s="38"/>
      <c r="M406" s="39"/>
      <c r="N406" s="62"/>
      <c r="O406" s="25" t="s">
        <v>1431</v>
      </c>
      <c r="P406" s="34"/>
    </row>
    <row r="407" spans="2:16" ht="27.75" customHeight="1">
      <c r="B407" s="25"/>
      <c r="C407" s="42" t="s">
        <v>1118</v>
      </c>
      <c r="D407" s="17" t="s">
        <v>948</v>
      </c>
      <c r="E407" s="26" t="e">
        <f>VLOOKUP(C407,#REF!,3,0)</f>
        <v>#REF!</v>
      </c>
      <c r="F407" s="205"/>
      <c r="G407" s="40" t="s">
        <v>2095</v>
      </c>
      <c r="H407" s="40" t="s">
        <v>1215</v>
      </c>
      <c r="I407" s="35">
        <v>2</v>
      </c>
      <c r="J407" s="36"/>
      <c r="K407" s="37"/>
      <c r="L407" s="38"/>
      <c r="M407" s="39"/>
      <c r="N407" s="62"/>
      <c r="O407" s="25" t="s">
        <v>1431</v>
      </c>
      <c r="P407" s="34"/>
    </row>
    <row r="408" spans="2:16" ht="27.75" customHeight="1">
      <c r="B408" s="25">
        <f>B403+1</f>
        <v>377</v>
      </c>
      <c r="C408" s="42" t="s">
        <v>949</v>
      </c>
      <c r="D408" s="17" t="s">
        <v>949</v>
      </c>
      <c r="E408" s="26" t="e">
        <f>VLOOKUP(C408,#REF!,3,0)</f>
        <v>#REF!</v>
      </c>
      <c r="F408" s="205" t="s">
        <v>2096</v>
      </c>
      <c r="G408" s="40" t="s">
        <v>2097</v>
      </c>
      <c r="H408" s="40" t="s">
        <v>1215</v>
      </c>
      <c r="I408" s="35">
        <v>4</v>
      </c>
      <c r="J408" s="36" t="s">
        <v>1256</v>
      </c>
      <c r="K408" s="37"/>
      <c r="L408" s="38"/>
      <c r="M408" s="39"/>
      <c r="N408" s="62">
        <v>1000000</v>
      </c>
      <c r="O408" s="25" t="s">
        <v>1431</v>
      </c>
      <c r="P408" s="34" t="s">
        <v>2098</v>
      </c>
    </row>
    <row r="409" spans="2:16" ht="27.75" customHeight="1">
      <c r="B409" s="25">
        <f t="shared" si="6"/>
        <v>378</v>
      </c>
      <c r="C409" s="42" t="s">
        <v>950</v>
      </c>
      <c r="D409" s="17" t="s">
        <v>950</v>
      </c>
      <c r="E409" s="26" t="e">
        <f>VLOOKUP(C409,#REF!,3,0)</f>
        <v>#REF!</v>
      </c>
      <c r="F409" s="205" t="s">
        <v>2099</v>
      </c>
      <c r="G409" s="40" t="s">
        <v>2100</v>
      </c>
      <c r="H409" s="40"/>
      <c r="I409" s="35">
        <v>4</v>
      </c>
      <c r="J409" s="36" t="s">
        <v>1256</v>
      </c>
      <c r="K409" s="37"/>
      <c r="L409" s="38"/>
      <c r="M409" s="39"/>
      <c r="N409" s="62">
        <v>1000000</v>
      </c>
      <c r="O409" s="25" t="s">
        <v>1310</v>
      </c>
      <c r="P409" s="34" t="s">
        <v>2101</v>
      </c>
    </row>
    <row r="410" spans="2:16" ht="27.75" customHeight="1">
      <c r="B410" s="25">
        <f t="shared" si="6"/>
        <v>379</v>
      </c>
      <c r="C410" s="42" t="s">
        <v>1004</v>
      </c>
      <c r="D410" s="17" t="s">
        <v>1004</v>
      </c>
      <c r="E410" s="26" t="e">
        <f>VLOOKUP(C410,#REF!,3,0)</f>
        <v>#REF!</v>
      </c>
      <c r="F410" s="205" t="s">
        <v>2102</v>
      </c>
      <c r="G410" s="40" t="s">
        <v>2103</v>
      </c>
      <c r="H410" s="40"/>
      <c r="I410" s="35">
        <v>4</v>
      </c>
      <c r="J410" s="36" t="s">
        <v>1256</v>
      </c>
      <c r="K410" s="37"/>
      <c r="L410" s="38"/>
      <c r="M410" s="39"/>
      <c r="N410" s="62">
        <v>1000000</v>
      </c>
      <c r="O410" s="25" t="s">
        <v>1310</v>
      </c>
      <c r="P410" s="34"/>
    </row>
    <row r="411" spans="2:16" ht="27.75" customHeight="1">
      <c r="B411" s="25">
        <f t="shared" si="6"/>
        <v>380</v>
      </c>
      <c r="C411" s="42" t="s">
        <v>1082</v>
      </c>
      <c r="D411" s="17" t="s">
        <v>1082</v>
      </c>
      <c r="E411" s="26" t="e">
        <f>VLOOKUP(C411,#REF!,3,0)</f>
        <v>#REF!</v>
      </c>
      <c r="F411" s="205" t="s">
        <v>2104</v>
      </c>
      <c r="G411" s="40" t="s">
        <v>2105</v>
      </c>
      <c r="H411" s="40"/>
      <c r="I411" s="35">
        <v>8</v>
      </c>
      <c r="J411" s="36"/>
      <c r="K411" s="37" t="s">
        <v>1568</v>
      </c>
      <c r="L411" s="38"/>
      <c r="M411" s="39"/>
      <c r="N411" s="62">
        <v>800000</v>
      </c>
      <c r="O411" s="25" t="s">
        <v>1360</v>
      </c>
      <c r="P411" s="34"/>
    </row>
    <row r="412" spans="2:16" ht="27.75" customHeight="1">
      <c r="B412" s="25">
        <f t="shared" si="6"/>
        <v>381</v>
      </c>
      <c r="C412" s="42" t="s">
        <v>1083</v>
      </c>
      <c r="D412" s="17" t="s">
        <v>1083</v>
      </c>
      <c r="E412" s="26" t="e">
        <f>VLOOKUP(C412,#REF!,3,0)</f>
        <v>#REF!</v>
      </c>
      <c r="F412" s="205" t="s">
        <v>2106</v>
      </c>
      <c r="G412" s="40" t="s">
        <v>2107</v>
      </c>
      <c r="H412" s="40"/>
      <c r="I412" s="35">
        <v>8</v>
      </c>
      <c r="J412" s="36"/>
      <c r="K412" s="37"/>
      <c r="L412" s="38" t="s">
        <v>1582</v>
      </c>
      <c r="M412" s="39"/>
      <c r="N412" s="62">
        <v>800000</v>
      </c>
      <c r="O412" s="25" t="s">
        <v>1360</v>
      </c>
      <c r="P412" s="34"/>
    </row>
    <row r="413" spans="2:16" ht="27.75" customHeight="1">
      <c r="B413" s="25">
        <f t="shared" si="6"/>
        <v>382</v>
      </c>
      <c r="C413" s="42" t="s">
        <v>1084</v>
      </c>
      <c r="D413" s="17" t="s">
        <v>1084</v>
      </c>
      <c r="E413" s="26" t="e">
        <f>VLOOKUP(C413,#REF!,3,0)</f>
        <v>#REF!</v>
      </c>
      <c r="F413" s="205" t="s">
        <v>2108</v>
      </c>
      <c r="G413" s="40" t="s">
        <v>2109</v>
      </c>
      <c r="H413" s="40"/>
      <c r="I413" s="35">
        <v>8</v>
      </c>
      <c r="J413" s="36"/>
      <c r="K413" s="37"/>
      <c r="L413" s="38" t="s">
        <v>1582</v>
      </c>
      <c r="M413" s="39"/>
      <c r="N413" s="62">
        <v>800000</v>
      </c>
      <c r="O413" s="25" t="s">
        <v>1360</v>
      </c>
      <c r="P413" s="34"/>
    </row>
    <row r="414" spans="2:16" ht="27.75" customHeight="1">
      <c r="B414" s="25">
        <f t="shared" si="6"/>
        <v>383</v>
      </c>
      <c r="C414" s="42" t="s">
        <v>153</v>
      </c>
      <c r="D414" s="17" t="s">
        <v>153</v>
      </c>
      <c r="E414" s="26" t="e">
        <f>VLOOKUP(C414,#REF!,3,0)</f>
        <v>#REF!</v>
      </c>
      <c r="F414" s="205">
        <v>137460</v>
      </c>
      <c r="G414" s="40" t="s">
        <v>1990</v>
      </c>
      <c r="H414" s="40"/>
      <c r="I414" s="35">
        <v>8</v>
      </c>
      <c r="J414" s="36"/>
      <c r="K414" s="37"/>
      <c r="L414" s="38" t="s">
        <v>1582</v>
      </c>
      <c r="M414" s="39"/>
      <c r="N414" s="62">
        <v>800000</v>
      </c>
      <c r="O414" s="25" t="s">
        <v>1360</v>
      </c>
      <c r="P414" s="34"/>
    </row>
    <row r="415" spans="2:16" ht="27.75" customHeight="1">
      <c r="B415" s="25">
        <f t="shared" si="6"/>
        <v>384</v>
      </c>
      <c r="C415" s="42" t="s">
        <v>156</v>
      </c>
      <c r="D415" s="17" t="s">
        <v>156</v>
      </c>
      <c r="E415" s="26" t="e">
        <f>VLOOKUP(C415,#REF!,3,0)</f>
        <v>#REF!</v>
      </c>
      <c r="F415" s="205">
        <v>137461</v>
      </c>
      <c r="G415" s="40" t="s">
        <v>2110</v>
      </c>
      <c r="H415" s="40"/>
      <c r="I415" s="35">
        <v>8</v>
      </c>
      <c r="J415" s="36"/>
      <c r="K415" s="37"/>
      <c r="L415" s="38" t="s">
        <v>1582</v>
      </c>
      <c r="M415" s="39"/>
      <c r="N415" s="62">
        <v>800000</v>
      </c>
      <c r="O415" s="25" t="s">
        <v>1360</v>
      </c>
      <c r="P415" s="34"/>
    </row>
    <row r="416" spans="2:16" ht="27.75" customHeight="1">
      <c r="B416" s="25">
        <f t="shared" si="6"/>
        <v>385</v>
      </c>
      <c r="C416" s="42" t="s">
        <v>160</v>
      </c>
      <c r="D416" s="17" t="s">
        <v>160</v>
      </c>
      <c r="E416" s="26" t="e">
        <f>VLOOKUP(C416,#REF!,3,0)</f>
        <v>#REF!</v>
      </c>
      <c r="F416" s="205">
        <v>137456</v>
      </c>
      <c r="G416" s="40" t="s">
        <v>2111</v>
      </c>
      <c r="H416" s="40"/>
      <c r="I416" s="35">
        <v>8</v>
      </c>
      <c r="J416" s="36"/>
      <c r="K416" s="37"/>
      <c r="L416" s="38" t="s">
        <v>1582</v>
      </c>
      <c r="M416" s="39"/>
      <c r="N416" s="62">
        <v>800000</v>
      </c>
      <c r="O416" s="25" t="s">
        <v>1360</v>
      </c>
      <c r="P416" s="34"/>
    </row>
    <row r="417" spans="2:16" ht="27.75" customHeight="1">
      <c r="B417" s="25">
        <f t="shared" si="6"/>
        <v>386</v>
      </c>
      <c r="C417" s="42" t="s">
        <v>163</v>
      </c>
      <c r="D417" s="17" t="s">
        <v>163</v>
      </c>
      <c r="E417" s="26" t="e">
        <f>VLOOKUP(C417,#REF!,3,0)</f>
        <v>#REF!</v>
      </c>
      <c r="F417" s="205">
        <v>137458</v>
      </c>
      <c r="G417" s="40" t="s">
        <v>2112</v>
      </c>
      <c r="H417" s="40"/>
      <c r="I417" s="35">
        <v>8</v>
      </c>
      <c r="J417" s="36"/>
      <c r="K417" s="37"/>
      <c r="L417" s="38" t="s">
        <v>1582</v>
      </c>
      <c r="M417" s="39"/>
      <c r="N417" s="62">
        <v>800000</v>
      </c>
      <c r="O417" s="25" t="s">
        <v>1360</v>
      </c>
      <c r="P417" s="34"/>
    </row>
    <row r="418" spans="2:16" ht="27.75" customHeight="1">
      <c r="B418" s="25">
        <f t="shared" si="6"/>
        <v>387</v>
      </c>
      <c r="C418" s="42" t="s">
        <v>36</v>
      </c>
      <c r="D418" s="17" t="s">
        <v>36</v>
      </c>
      <c r="E418" s="26" t="e">
        <f>VLOOKUP(C418,#REF!,3,0)</f>
        <v>#REF!</v>
      </c>
      <c r="F418" s="205">
        <v>137515</v>
      </c>
      <c r="G418" s="40" t="s">
        <v>1916</v>
      </c>
      <c r="H418" s="40"/>
      <c r="I418" s="35">
        <v>16</v>
      </c>
      <c r="J418" s="36"/>
      <c r="K418" s="37"/>
      <c r="L418" s="38" t="s">
        <v>1582</v>
      </c>
      <c r="M418" s="39"/>
      <c r="N418" s="62">
        <v>1000000</v>
      </c>
      <c r="O418" s="25" t="s">
        <v>1360</v>
      </c>
      <c r="P418" s="34"/>
    </row>
    <row r="419" spans="2:16" ht="27.75" customHeight="1">
      <c r="B419" s="25">
        <f t="shared" si="6"/>
        <v>388</v>
      </c>
      <c r="C419" s="42" t="s">
        <v>365</v>
      </c>
      <c r="D419" s="17" t="s">
        <v>365</v>
      </c>
      <c r="E419" s="26" t="e">
        <f>VLOOKUP(C419,#REF!,3,0)</f>
        <v>#REF!</v>
      </c>
      <c r="F419" s="205">
        <v>137466</v>
      </c>
      <c r="G419" s="40" t="s">
        <v>1978</v>
      </c>
      <c r="H419" s="40"/>
      <c r="I419" s="35">
        <v>4</v>
      </c>
      <c r="J419" s="36"/>
      <c r="K419" s="37"/>
      <c r="L419" s="38" t="s">
        <v>1582</v>
      </c>
      <c r="M419" s="39"/>
      <c r="N419" s="62">
        <v>1000000</v>
      </c>
      <c r="O419" s="25" t="s">
        <v>1360</v>
      </c>
      <c r="P419" s="34"/>
    </row>
    <row r="420" spans="2:16" ht="27.75" customHeight="1">
      <c r="B420" s="25">
        <f t="shared" si="6"/>
        <v>389</v>
      </c>
      <c r="C420" s="42" t="s">
        <v>147</v>
      </c>
      <c r="D420" s="17" t="s">
        <v>147</v>
      </c>
      <c r="E420" s="26" t="e">
        <f>VLOOKUP(C420,#REF!,3,0)</f>
        <v>#REF!</v>
      </c>
      <c r="F420" s="205" t="s">
        <v>2113</v>
      </c>
      <c r="G420" s="40" t="s">
        <v>2114</v>
      </c>
      <c r="H420" s="40"/>
      <c r="I420" s="35">
        <v>8</v>
      </c>
      <c r="J420" s="36"/>
      <c r="K420" s="37"/>
      <c r="L420" s="38" t="s">
        <v>1582</v>
      </c>
      <c r="M420" s="39"/>
      <c r="N420" s="62">
        <v>1000000</v>
      </c>
      <c r="O420" s="25" t="s">
        <v>1360</v>
      </c>
      <c r="P420" s="34"/>
    </row>
    <row r="421" spans="2:16" ht="27.75" customHeight="1">
      <c r="B421" s="25">
        <f t="shared" si="6"/>
        <v>390</v>
      </c>
      <c r="C421" s="42" t="s">
        <v>149</v>
      </c>
      <c r="D421" s="17" t="s">
        <v>149</v>
      </c>
      <c r="E421" s="26" t="e">
        <f>VLOOKUP(C421,#REF!,3,0)</f>
        <v>#REF!</v>
      </c>
      <c r="F421" s="205" t="s">
        <v>2115</v>
      </c>
      <c r="G421" s="40" t="s">
        <v>2116</v>
      </c>
      <c r="H421" s="40"/>
      <c r="I421" s="35">
        <v>8</v>
      </c>
      <c r="J421" s="36"/>
      <c r="K421" s="37"/>
      <c r="L421" s="38" t="s">
        <v>1582</v>
      </c>
      <c r="M421" s="39"/>
      <c r="N421" s="62">
        <v>1000000</v>
      </c>
      <c r="O421" s="25" t="s">
        <v>1360</v>
      </c>
      <c r="P421" s="34"/>
    </row>
    <row r="422" spans="2:16" ht="27.75" customHeight="1">
      <c r="B422" s="25">
        <f t="shared" si="6"/>
        <v>391</v>
      </c>
      <c r="C422" s="42" t="s">
        <v>1001</v>
      </c>
      <c r="D422" s="17" t="s">
        <v>1001</v>
      </c>
      <c r="E422" s="26" t="e">
        <f>VLOOKUP(C422,#REF!,3,0)</f>
        <v>#REF!</v>
      </c>
      <c r="F422" s="205" t="s">
        <v>2117</v>
      </c>
      <c r="G422" s="40" t="s">
        <v>2118</v>
      </c>
      <c r="H422" s="40"/>
      <c r="I422" s="35">
        <v>4</v>
      </c>
      <c r="J422" s="36" t="s">
        <v>1256</v>
      </c>
      <c r="K422" s="37"/>
      <c r="L422" s="38"/>
      <c r="M422" s="39"/>
      <c r="N422" s="44">
        <v>500</v>
      </c>
      <c r="O422" s="25" t="s">
        <v>2119</v>
      </c>
      <c r="P422" s="34" t="s">
        <v>1413</v>
      </c>
    </row>
    <row r="423" spans="2:16" ht="27.75" customHeight="1">
      <c r="B423" s="25">
        <f t="shared" si="6"/>
        <v>392</v>
      </c>
      <c r="C423" s="42" t="s">
        <v>333</v>
      </c>
      <c r="D423" s="17" t="s">
        <v>333</v>
      </c>
      <c r="E423" s="26" t="e">
        <f>VLOOKUP(C423,#REF!,3,0)</f>
        <v>#REF!</v>
      </c>
      <c r="F423" s="205" t="s">
        <v>2120</v>
      </c>
      <c r="G423" s="40" t="s">
        <v>2121</v>
      </c>
      <c r="H423" s="40"/>
      <c r="I423" s="35">
        <v>4</v>
      </c>
      <c r="J423" s="36" t="s">
        <v>1256</v>
      </c>
      <c r="K423" s="37"/>
      <c r="L423" s="38"/>
      <c r="M423" s="39"/>
      <c r="N423" s="44">
        <v>500</v>
      </c>
      <c r="O423" s="25" t="s">
        <v>2119</v>
      </c>
      <c r="P423" s="34" t="s">
        <v>1413</v>
      </c>
    </row>
    <row r="424" spans="2:16" ht="27.75" customHeight="1">
      <c r="B424" s="25">
        <f t="shared" si="6"/>
        <v>393</v>
      </c>
      <c r="C424" s="42" t="s">
        <v>1066</v>
      </c>
      <c r="D424" s="17" t="s">
        <v>1066</v>
      </c>
      <c r="E424" s="26" t="e">
        <f>VLOOKUP(C424,#REF!,3,0)</f>
        <v>#REF!</v>
      </c>
      <c r="F424" s="205" t="s">
        <v>2122</v>
      </c>
      <c r="G424" s="40" t="s">
        <v>2123</v>
      </c>
      <c r="H424" s="40"/>
      <c r="I424" s="35">
        <v>4</v>
      </c>
      <c r="J424" s="36" t="s">
        <v>1256</v>
      </c>
      <c r="K424" s="37"/>
      <c r="L424" s="38"/>
      <c r="M424" s="39"/>
      <c r="N424" s="44">
        <v>500</v>
      </c>
      <c r="O424" s="40" t="s">
        <v>2124</v>
      </c>
      <c r="P424" s="34" t="s">
        <v>1974</v>
      </c>
    </row>
    <row r="425" spans="2:16" ht="27.75" customHeight="1">
      <c r="B425" s="25">
        <f t="shared" si="6"/>
        <v>394</v>
      </c>
      <c r="C425" s="42" t="s">
        <v>987</v>
      </c>
      <c r="D425" s="17" t="s">
        <v>987</v>
      </c>
      <c r="E425" s="26" t="e">
        <f>VLOOKUP(C425,#REF!,3,0)</f>
        <v>#REF!</v>
      </c>
      <c r="F425" s="205" t="s">
        <v>2125</v>
      </c>
      <c r="G425" s="25" t="s">
        <v>2126</v>
      </c>
      <c r="H425" s="25"/>
      <c r="I425" s="35">
        <v>8</v>
      </c>
      <c r="J425" s="36"/>
      <c r="K425" s="37"/>
      <c r="L425" s="38"/>
      <c r="M425" s="39" t="s">
        <v>1250</v>
      </c>
      <c r="N425" s="44">
        <v>500</v>
      </c>
      <c r="O425" s="40" t="s">
        <v>2124</v>
      </c>
      <c r="P425" s="34" t="s">
        <v>2127</v>
      </c>
    </row>
    <row r="426" spans="2:16" ht="27.75" customHeight="1">
      <c r="B426" s="25">
        <f t="shared" si="6"/>
        <v>395</v>
      </c>
      <c r="C426" s="42" t="s">
        <v>72</v>
      </c>
      <c r="D426" s="17" t="s">
        <v>72</v>
      </c>
      <c r="E426" s="26" t="e">
        <f>VLOOKUP(C426,#REF!,3,0)</f>
        <v>#REF!</v>
      </c>
      <c r="F426" s="205" t="s">
        <v>2128</v>
      </c>
      <c r="G426" s="25" t="s">
        <v>2129</v>
      </c>
      <c r="H426" s="25"/>
      <c r="I426" s="35">
        <v>4</v>
      </c>
      <c r="J426" s="36" t="s">
        <v>1256</v>
      </c>
      <c r="K426" s="37"/>
      <c r="L426" s="38"/>
      <c r="M426" s="39"/>
      <c r="N426" s="44">
        <v>500</v>
      </c>
      <c r="O426" s="40" t="s">
        <v>2124</v>
      </c>
      <c r="P426" s="34" t="s">
        <v>2130</v>
      </c>
    </row>
    <row r="427" spans="2:16" ht="27.75" customHeight="1">
      <c r="B427" s="25">
        <f t="shared" si="6"/>
        <v>396</v>
      </c>
      <c r="C427" s="42" t="s">
        <v>754</v>
      </c>
      <c r="D427" s="17" t="s">
        <v>754</v>
      </c>
      <c r="E427" s="26" t="e">
        <f>VLOOKUP(C427,#REF!,3,0)</f>
        <v>#REF!</v>
      </c>
      <c r="F427" s="205" t="s">
        <v>2131</v>
      </c>
      <c r="G427" s="25" t="s">
        <v>2132</v>
      </c>
      <c r="H427" s="25"/>
      <c r="I427" s="35">
        <v>4</v>
      </c>
      <c r="J427" s="36" t="s">
        <v>1256</v>
      </c>
      <c r="K427" s="37"/>
      <c r="L427" s="38"/>
      <c r="M427" s="39"/>
      <c r="N427" s="44">
        <v>500</v>
      </c>
      <c r="O427" s="40" t="s">
        <v>2124</v>
      </c>
      <c r="P427" s="34" t="s">
        <v>2133</v>
      </c>
    </row>
    <row r="428" spans="2:16" ht="27.75" customHeight="1">
      <c r="B428" s="25">
        <f t="shared" si="6"/>
        <v>397</v>
      </c>
      <c r="C428" s="42" t="s">
        <v>1053</v>
      </c>
      <c r="D428" s="17" t="s">
        <v>1053</v>
      </c>
      <c r="E428" s="26" t="e">
        <f>VLOOKUP(C428,#REF!,3,0)</f>
        <v>#REF!</v>
      </c>
      <c r="F428" s="205" t="s">
        <v>2134</v>
      </c>
      <c r="G428" s="25" t="s">
        <v>2135</v>
      </c>
      <c r="H428" s="25"/>
      <c r="I428" s="35">
        <v>4</v>
      </c>
      <c r="J428" s="36" t="s">
        <v>1256</v>
      </c>
      <c r="K428" s="37"/>
      <c r="L428" s="38"/>
      <c r="M428" s="39"/>
      <c r="N428" s="44">
        <v>500</v>
      </c>
      <c r="O428" s="40" t="s">
        <v>2124</v>
      </c>
      <c r="P428" s="34" t="s">
        <v>2136</v>
      </c>
    </row>
    <row r="429" spans="2:16" ht="27.75" customHeight="1">
      <c r="B429" s="25">
        <f t="shared" si="6"/>
        <v>398</v>
      </c>
      <c r="C429" s="42" t="s">
        <v>199</v>
      </c>
      <c r="D429" s="17" t="s">
        <v>199</v>
      </c>
      <c r="E429" s="26" t="s">
        <v>1135</v>
      </c>
      <c r="F429" s="205" t="s">
        <v>2137</v>
      </c>
      <c r="G429" s="25" t="s">
        <v>2138</v>
      </c>
      <c r="H429" s="25"/>
      <c r="I429" s="35">
        <v>4</v>
      </c>
      <c r="J429" s="36" t="s">
        <v>1256</v>
      </c>
      <c r="K429" s="37"/>
      <c r="L429" s="38"/>
      <c r="M429" s="39"/>
      <c r="N429" s="44">
        <v>500</v>
      </c>
      <c r="O429" s="25" t="s">
        <v>1542</v>
      </c>
      <c r="P429" s="34" t="s">
        <v>1759</v>
      </c>
    </row>
    <row r="430" spans="2:16" ht="27.75" customHeight="1">
      <c r="B430" s="25">
        <f t="shared" si="6"/>
        <v>399</v>
      </c>
      <c r="C430" s="42" t="s">
        <v>732</v>
      </c>
      <c r="D430" s="17" t="s">
        <v>732</v>
      </c>
      <c r="E430" s="26" t="e">
        <f>VLOOKUP(C430,#REF!,3,0)</f>
        <v>#REF!</v>
      </c>
      <c r="F430" s="205" t="s">
        <v>2139</v>
      </c>
      <c r="G430" s="25" t="s">
        <v>2140</v>
      </c>
      <c r="H430" s="25" t="s">
        <v>1215</v>
      </c>
      <c r="I430" s="35">
        <v>4</v>
      </c>
      <c r="J430" s="36" t="s">
        <v>1256</v>
      </c>
      <c r="K430" s="37"/>
      <c r="L430" s="38"/>
      <c r="M430" s="39"/>
      <c r="N430" s="44">
        <v>500</v>
      </c>
      <c r="O430" s="25" t="s">
        <v>1542</v>
      </c>
      <c r="P430" s="34" t="s">
        <v>2141</v>
      </c>
    </row>
    <row r="431" spans="2:16" ht="27.75" customHeight="1">
      <c r="B431" s="25">
        <f t="shared" si="6"/>
        <v>400</v>
      </c>
      <c r="C431" s="42" t="s">
        <v>733</v>
      </c>
      <c r="D431" s="17" t="s">
        <v>733</v>
      </c>
      <c r="E431" s="26" t="e">
        <f>VLOOKUP(C431,#REF!,3,0)</f>
        <v>#REF!</v>
      </c>
      <c r="F431" s="205" t="s">
        <v>2142</v>
      </c>
      <c r="G431" s="25" t="s">
        <v>2143</v>
      </c>
      <c r="H431" s="25" t="s">
        <v>1215</v>
      </c>
      <c r="I431" s="35">
        <v>4</v>
      </c>
      <c r="J431" s="36" t="s">
        <v>1256</v>
      </c>
      <c r="K431" s="37"/>
      <c r="L431" s="38"/>
      <c r="M431" s="39"/>
      <c r="N431" s="44">
        <v>500</v>
      </c>
      <c r="O431" s="25" t="s">
        <v>1542</v>
      </c>
      <c r="P431" s="34" t="s">
        <v>2144</v>
      </c>
    </row>
    <row r="432" spans="2:16" ht="27.75" customHeight="1">
      <c r="B432" s="25">
        <f t="shared" si="6"/>
        <v>401</v>
      </c>
      <c r="C432" s="42" t="s">
        <v>986</v>
      </c>
      <c r="D432" s="17" t="s">
        <v>986</v>
      </c>
      <c r="E432" s="26" t="e">
        <f>VLOOKUP(C432,#REF!,3,0)</f>
        <v>#REF!</v>
      </c>
      <c r="F432" s="205" t="s">
        <v>2145</v>
      </c>
      <c r="G432" s="25" t="s">
        <v>2146</v>
      </c>
      <c r="H432" s="25"/>
      <c r="I432" s="35">
        <v>4</v>
      </c>
      <c r="J432" s="36" t="s">
        <v>1256</v>
      </c>
      <c r="K432" s="37"/>
      <c r="L432" s="38"/>
      <c r="M432" s="39"/>
      <c r="N432" s="44">
        <v>500</v>
      </c>
      <c r="O432" s="25" t="s">
        <v>1542</v>
      </c>
      <c r="P432" s="34" t="s">
        <v>2147</v>
      </c>
    </row>
    <row r="433" spans="2:16" ht="27.75" customHeight="1">
      <c r="B433" s="25">
        <f t="shared" si="6"/>
        <v>402</v>
      </c>
      <c r="C433" s="42" t="s">
        <v>729</v>
      </c>
      <c r="D433" s="17" t="s">
        <v>729</v>
      </c>
      <c r="E433" s="26" t="e">
        <f>VLOOKUP(C433,#REF!,3,0)</f>
        <v>#REF!</v>
      </c>
      <c r="F433" s="205" t="s">
        <v>2148</v>
      </c>
      <c r="G433" s="25" t="s">
        <v>2149</v>
      </c>
      <c r="H433" s="25"/>
      <c r="I433" s="35">
        <v>4</v>
      </c>
      <c r="J433" s="36" t="s">
        <v>1256</v>
      </c>
      <c r="K433" s="37"/>
      <c r="L433" s="38"/>
      <c r="M433" s="39"/>
      <c r="N433" s="44">
        <v>500</v>
      </c>
      <c r="O433" s="25" t="s">
        <v>1542</v>
      </c>
      <c r="P433" s="34" t="s">
        <v>2150</v>
      </c>
    </row>
    <row r="434" spans="2:16" ht="27.75" customHeight="1">
      <c r="B434" s="25">
        <f t="shared" si="6"/>
        <v>403</v>
      </c>
      <c r="C434" s="42" t="s">
        <v>244</v>
      </c>
      <c r="D434" s="17" t="s">
        <v>244</v>
      </c>
      <c r="E434" s="26" t="e">
        <f>VLOOKUP(C434,#REF!,3,0)</f>
        <v>#REF!</v>
      </c>
      <c r="F434" s="205" t="s">
        <v>2151</v>
      </c>
      <c r="G434" s="25" t="s">
        <v>2152</v>
      </c>
      <c r="H434" s="25"/>
      <c r="I434" s="35">
        <v>2</v>
      </c>
      <c r="J434" s="36" t="s">
        <v>1256</v>
      </c>
      <c r="K434" s="37"/>
      <c r="L434" s="38"/>
      <c r="M434" s="39"/>
      <c r="N434" s="44">
        <v>500</v>
      </c>
      <c r="O434" s="25" t="s">
        <v>1542</v>
      </c>
      <c r="P434" s="34" t="s">
        <v>2153</v>
      </c>
    </row>
    <row r="435" spans="2:16" ht="27.75" customHeight="1">
      <c r="B435" s="25">
        <f t="shared" si="6"/>
        <v>404</v>
      </c>
      <c r="C435" s="42" t="s">
        <v>206</v>
      </c>
      <c r="D435" s="17" t="s">
        <v>206</v>
      </c>
      <c r="E435" s="26" t="e">
        <f>VLOOKUP(C435,#REF!,3,0)</f>
        <v>#REF!</v>
      </c>
      <c r="F435" s="205" t="s">
        <v>2154</v>
      </c>
      <c r="G435" s="25" t="s">
        <v>2155</v>
      </c>
      <c r="H435" s="25"/>
      <c r="I435" s="35">
        <v>4</v>
      </c>
      <c r="J435" s="36" t="s">
        <v>1256</v>
      </c>
      <c r="K435" s="37"/>
      <c r="L435" s="38"/>
      <c r="M435" s="39"/>
      <c r="N435" s="44">
        <v>500</v>
      </c>
      <c r="O435" s="63" t="s">
        <v>1542</v>
      </c>
      <c r="P435" s="34" t="s">
        <v>2156</v>
      </c>
    </row>
    <row r="436" spans="2:16" ht="27.75" customHeight="1">
      <c r="B436" s="25">
        <f t="shared" si="6"/>
        <v>405</v>
      </c>
      <c r="C436" s="42" t="s">
        <v>936</v>
      </c>
      <c r="D436" s="17" t="s">
        <v>936</v>
      </c>
      <c r="E436" s="26" t="e">
        <f>VLOOKUP(C436,#REF!,3,0)</f>
        <v>#REF!</v>
      </c>
      <c r="F436" s="205" t="s">
        <v>2157</v>
      </c>
      <c r="G436" s="25" t="s">
        <v>2158</v>
      </c>
      <c r="H436" s="25"/>
      <c r="I436" s="35">
        <v>4</v>
      </c>
      <c r="J436" s="36" t="s">
        <v>1256</v>
      </c>
      <c r="K436" s="37"/>
      <c r="L436" s="38"/>
      <c r="M436" s="39"/>
      <c r="N436" s="44">
        <v>500</v>
      </c>
      <c r="O436" s="25" t="s">
        <v>1542</v>
      </c>
      <c r="P436" s="34" t="s">
        <v>2159</v>
      </c>
    </row>
    <row r="437" spans="2:16" ht="27.75" customHeight="1">
      <c r="B437" s="25">
        <f t="shared" si="6"/>
        <v>406</v>
      </c>
      <c r="C437" s="42" t="s">
        <v>734</v>
      </c>
      <c r="D437" s="17" t="s">
        <v>734</v>
      </c>
      <c r="E437" s="26" t="e">
        <f>VLOOKUP(C437,#REF!,3,0)</f>
        <v>#REF!</v>
      </c>
      <c r="F437" s="205" t="s">
        <v>2160</v>
      </c>
      <c r="G437" s="25" t="s">
        <v>2161</v>
      </c>
      <c r="H437" s="25"/>
      <c r="I437" s="35">
        <v>4</v>
      </c>
      <c r="J437" s="36" t="s">
        <v>1256</v>
      </c>
      <c r="K437" s="37"/>
      <c r="L437" s="38"/>
      <c r="M437" s="39"/>
      <c r="N437" s="44">
        <v>500</v>
      </c>
      <c r="O437" s="25" t="s">
        <v>1290</v>
      </c>
      <c r="P437" s="34" t="s">
        <v>2162</v>
      </c>
    </row>
    <row r="438" spans="2:16" ht="27.75" customHeight="1">
      <c r="B438" s="25">
        <f t="shared" si="6"/>
        <v>407</v>
      </c>
      <c r="C438" s="42" t="s">
        <v>1054</v>
      </c>
      <c r="D438" s="17" t="s">
        <v>1054</v>
      </c>
      <c r="E438" s="26" t="e">
        <f>VLOOKUP(C438,#REF!,3,0)</f>
        <v>#REF!</v>
      </c>
      <c r="F438" s="205" t="s">
        <v>2163</v>
      </c>
      <c r="G438" s="25" t="s">
        <v>2164</v>
      </c>
      <c r="H438" s="25"/>
      <c r="I438" s="35">
        <v>4</v>
      </c>
      <c r="J438" s="36" t="s">
        <v>1256</v>
      </c>
      <c r="K438" s="37"/>
      <c r="L438" s="38"/>
      <c r="M438" s="39"/>
      <c r="N438" s="44">
        <v>500</v>
      </c>
      <c r="O438" s="25" t="s">
        <v>1542</v>
      </c>
      <c r="P438" s="34" t="s">
        <v>2165</v>
      </c>
    </row>
    <row r="439" spans="2:16" ht="27.75" customHeight="1">
      <c r="B439" s="25">
        <f t="shared" si="6"/>
        <v>408</v>
      </c>
      <c r="C439" s="42" t="s">
        <v>543</v>
      </c>
      <c r="D439" s="17" t="s">
        <v>543</v>
      </c>
      <c r="E439" s="26" t="s">
        <v>1172</v>
      </c>
      <c r="F439" s="205" t="s">
        <v>2166</v>
      </c>
      <c r="G439" s="25" t="s">
        <v>2167</v>
      </c>
      <c r="H439" s="25"/>
      <c r="I439" s="35">
        <v>4</v>
      </c>
      <c r="J439" s="36" t="s">
        <v>1256</v>
      </c>
      <c r="K439" s="37"/>
      <c r="L439" s="38"/>
      <c r="M439" s="39"/>
      <c r="N439" s="44">
        <v>500</v>
      </c>
      <c r="O439" s="63" t="s">
        <v>1542</v>
      </c>
      <c r="P439" s="34" t="s">
        <v>2168</v>
      </c>
    </row>
    <row r="440" spans="2:16" ht="27.75" customHeight="1">
      <c r="B440" s="25">
        <f t="shared" si="6"/>
        <v>409</v>
      </c>
      <c r="C440" s="42" t="s">
        <v>179</v>
      </c>
      <c r="D440" s="17" t="s">
        <v>179</v>
      </c>
      <c r="E440" s="26" t="s">
        <v>1132</v>
      </c>
      <c r="F440" s="205" t="s">
        <v>2169</v>
      </c>
      <c r="G440" s="25" t="s">
        <v>2170</v>
      </c>
      <c r="H440" s="25"/>
      <c r="I440" s="35">
        <v>4</v>
      </c>
      <c r="J440" s="36" t="s">
        <v>1256</v>
      </c>
      <c r="K440" s="37"/>
      <c r="L440" s="38"/>
      <c r="M440" s="39"/>
      <c r="N440" s="44">
        <v>500</v>
      </c>
      <c r="O440" s="25" t="s">
        <v>1542</v>
      </c>
      <c r="P440" s="34" t="s">
        <v>2171</v>
      </c>
    </row>
    <row r="441" spans="2:16" ht="27.75" customHeight="1">
      <c r="B441" s="25">
        <f t="shared" si="6"/>
        <v>410</v>
      </c>
      <c r="C441" s="42" t="s">
        <v>540</v>
      </c>
      <c r="D441" s="17" t="s">
        <v>540</v>
      </c>
      <c r="E441" s="26" t="s">
        <v>1169</v>
      </c>
      <c r="F441" s="205" t="s">
        <v>2172</v>
      </c>
      <c r="G441" s="25" t="s">
        <v>2173</v>
      </c>
      <c r="H441" s="25"/>
      <c r="I441" s="35">
        <v>4</v>
      </c>
      <c r="J441" s="36" t="s">
        <v>1256</v>
      </c>
      <c r="K441" s="37"/>
      <c r="L441" s="38"/>
      <c r="M441" s="39"/>
      <c r="N441" s="44">
        <v>500</v>
      </c>
      <c r="O441" s="25" t="s">
        <v>1542</v>
      </c>
      <c r="P441" s="34" t="s">
        <v>1374</v>
      </c>
    </row>
    <row r="442" spans="2:16" ht="27.75" customHeight="1">
      <c r="B442" s="25">
        <f t="shared" si="6"/>
        <v>411</v>
      </c>
      <c r="C442" s="42" t="s">
        <v>529</v>
      </c>
      <c r="D442" s="17" t="s">
        <v>529</v>
      </c>
      <c r="E442" s="26" t="s">
        <v>1163</v>
      </c>
      <c r="F442" s="205" t="s">
        <v>2174</v>
      </c>
      <c r="G442" s="25" t="s">
        <v>2175</v>
      </c>
      <c r="H442" s="25"/>
      <c r="I442" s="35">
        <v>4</v>
      </c>
      <c r="J442" s="36" t="s">
        <v>1256</v>
      </c>
      <c r="K442" s="37"/>
      <c r="L442" s="38"/>
      <c r="M442" s="39"/>
      <c r="N442" s="44">
        <v>500</v>
      </c>
      <c r="O442" s="25" t="s">
        <v>1542</v>
      </c>
      <c r="P442" s="34" t="s">
        <v>1413</v>
      </c>
    </row>
    <row r="443" spans="2:16" ht="27.75" customHeight="1">
      <c r="B443" s="25">
        <f t="shared" si="6"/>
        <v>412</v>
      </c>
      <c r="C443" s="42" t="s">
        <v>541</v>
      </c>
      <c r="D443" s="17" t="s">
        <v>541</v>
      </c>
      <c r="E443" s="26" t="s">
        <v>1170</v>
      </c>
      <c r="F443" s="205" t="s">
        <v>2176</v>
      </c>
      <c r="G443" s="25" t="s">
        <v>2177</v>
      </c>
      <c r="H443" s="25"/>
      <c r="I443" s="35">
        <v>4</v>
      </c>
      <c r="J443" s="36" t="s">
        <v>1256</v>
      </c>
      <c r="K443" s="37"/>
      <c r="L443" s="38"/>
      <c r="M443" s="39"/>
      <c r="N443" s="44">
        <v>500</v>
      </c>
      <c r="O443" s="25" t="s">
        <v>1542</v>
      </c>
      <c r="P443" s="34" t="s">
        <v>2178</v>
      </c>
    </row>
    <row r="444" spans="2:16" ht="27.75" customHeight="1">
      <c r="B444" s="25">
        <f t="shared" si="6"/>
        <v>413</v>
      </c>
      <c r="C444" s="42" t="s">
        <v>393</v>
      </c>
      <c r="D444" s="17" t="s">
        <v>393</v>
      </c>
      <c r="E444" s="26" t="s">
        <v>1141</v>
      </c>
      <c r="F444" s="205" t="s">
        <v>2179</v>
      </c>
      <c r="G444" s="25" t="s">
        <v>2180</v>
      </c>
      <c r="H444" s="25"/>
      <c r="I444" s="35">
        <v>4</v>
      </c>
      <c r="J444" s="36" t="s">
        <v>1256</v>
      </c>
      <c r="K444" s="37"/>
      <c r="L444" s="38"/>
      <c r="M444" s="39"/>
      <c r="N444" s="44">
        <v>500</v>
      </c>
      <c r="O444" s="25" t="s">
        <v>1542</v>
      </c>
      <c r="P444" s="34" t="s">
        <v>2181</v>
      </c>
    </row>
    <row r="445" spans="2:16" ht="27.75" customHeight="1">
      <c r="B445" s="25">
        <f t="shared" si="6"/>
        <v>414</v>
      </c>
      <c r="C445" s="42" t="s">
        <v>399</v>
      </c>
      <c r="D445" s="17" t="s">
        <v>399</v>
      </c>
      <c r="E445" s="26" t="s">
        <v>1145</v>
      </c>
      <c r="F445" s="205" t="s">
        <v>2182</v>
      </c>
      <c r="G445" s="25" t="s">
        <v>2183</v>
      </c>
      <c r="H445" s="25"/>
      <c r="I445" s="35">
        <v>4</v>
      </c>
      <c r="J445" s="36" t="s">
        <v>1256</v>
      </c>
      <c r="K445" s="37"/>
      <c r="L445" s="38"/>
      <c r="M445" s="39"/>
      <c r="N445" s="44">
        <v>500</v>
      </c>
      <c r="O445" s="25" t="s">
        <v>1542</v>
      </c>
      <c r="P445" s="34" t="s">
        <v>2184</v>
      </c>
    </row>
    <row r="446" spans="2:16" ht="27.75" customHeight="1">
      <c r="B446" s="25">
        <f t="shared" si="6"/>
        <v>415</v>
      </c>
      <c r="C446" s="42" t="s">
        <v>507</v>
      </c>
      <c r="D446" s="17" t="s">
        <v>507</v>
      </c>
      <c r="E446" s="26" t="s">
        <v>1155</v>
      </c>
      <c r="F446" s="205" t="s">
        <v>2185</v>
      </c>
      <c r="G446" s="25" t="s">
        <v>2186</v>
      </c>
      <c r="H446" s="25"/>
      <c r="I446" s="35">
        <v>4</v>
      </c>
      <c r="J446" s="36" t="s">
        <v>1256</v>
      </c>
      <c r="K446" s="37"/>
      <c r="L446" s="38"/>
      <c r="M446" s="39"/>
      <c r="N446" s="44">
        <v>500</v>
      </c>
      <c r="O446" s="25" t="s">
        <v>1542</v>
      </c>
      <c r="P446" s="34" t="s">
        <v>2187</v>
      </c>
    </row>
    <row r="447" spans="2:16" ht="27.75" customHeight="1">
      <c r="B447" s="25">
        <f t="shared" si="6"/>
        <v>416</v>
      </c>
      <c r="C447" s="42" t="s">
        <v>217</v>
      </c>
      <c r="D447" s="17" t="s">
        <v>217</v>
      </c>
      <c r="E447" s="26" t="s">
        <v>1136</v>
      </c>
      <c r="F447" s="205" t="s">
        <v>2188</v>
      </c>
      <c r="G447" s="25" t="s">
        <v>2189</v>
      </c>
      <c r="H447" s="25"/>
      <c r="I447" s="35">
        <v>4</v>
      </c>
      <c r="J447" s="36" t="s">
        <v>1256</v>
      </c>
      <c r="K447" s="37"/>
      <c r="L447" s="38"/>
      <c r="M447" s="39"/>
      <c r="N447" s="44">
        <v>500</v>
      </c>
      <c r="O447" s="25" t="s">
        <v>1542</v>
      </c>
      <c r="P447" s="34" t="s">
        <v>2190</v>
      </c>
    </row>
    <row r="448" spans="2:16" ht="27.75" customHeight="1">
      <c r="B448" s="25">
        <f t="shared" si="6"/>
        <v>417</v>
      </c>
      <c r="C448" s="42" t="s">
        <v>502</v>
      </c>
      <c r="D448" s="17" t="s">
        <v>502</v>
      </c>
      <c r="E448" s="26" t="s">
        <v>1153</v>
      </c>
      <c r="F448" s="205" t="s">
        <v>2191</v>
      </c>
      <c r="G448" s="25" t="s">
        <v>2192</v>
      </c>
      <c r="H448" s="25"/>
      <c r="I448" s="35">
        <v>8</v>
      </c>
      <c r="J448" s="36" t="s">
        <v>1256</v>
      </c>
      <c r="K448" s="37"/>
      <c r="L448" s="38"/>
      <c r="M448" s="39"/>
      <c r="N448" s="44">
        <v>500</v>
      </c>
      <c r="O448" s="25" t="s">
        <v>1542</v>
      </c>
      <c r="P448" s="34" t="s">
        <v>2193</v>
      </c>
    </row>
    <row r="449" spans="2:16" ht="27.75" customHeight="1">
      <c r="B449" s="25">
        <f t="shared" si="6"/>
        <v>418</v>
      </c>
      <c r="C449" s="42" t="s">
        <v>533</v>
      </c>
      <c r="D449" s="17" t="s">
        <v>533</v>
      </c>
      <c r="E449" s="26" t="s">
        <v>1165</v>
      </c>
      <c r="F449" s="205" t="s">
        <v>2194</v>
      </c>
      <c r="G449" s="25" t="s">
        <v>2195</v>
      </c>
      <c r="H449" s="25"/>
      <c r="I449" s="35">
        <v>4</v>
      </c>
      <c r="J449" s="36" t="s">
        <v>1256</v>
      </c>
      <c r="K449" s="37"/>
      <c r="L449" s="38"/>
      <c r="M449" s="39"/>
      <c r="N449" s="44">
        <v>500</v>
      </c>
      <c r="O449" s="25" t="s">
        <v>1542</v>
      </c>
      <c r="P449" s="34" t="s">
        <v>2196</v>
      </c>
    </row>
    <row r="450" spans="2:16" ht="27.75" customHeight="1">
      <c r="B450" s="25">
        <f t="shared" si="6"/>
        <v>419</v>
      </c>
      <c r="C450" s="42" t="s">
        <v>513</v>
      </c>
      <c r="D450" s="17" t="s">
        <v>513</v>
      </c>
      <c r="E450" s="26" t="s">
        <v>1158</v>
      </c>
      <c r="F450" s="205" t="s">
        <v>2197</v>
      </c>
      <c r="G450" s="25" t="s">
        <v>2198</v>
      </c>
      <c r="H450" s="25"/>
      <c r="I450" s="35">
        <v>4</v>
      </c>
      <c r="J450" s="36" t="s">
        <v>1256</v>
      </c>
      <c r="K450" s="37"/>
      <c r="L450" s="38"/>
      <c r="M450" s="39"/>
      <c r="N450" s="44">
        <v>500</v>
      </c>
      <c r="O450" s="25" t="s">
        <v>1542</v>
      </c>
      <c r="P450" s="34" t="s">
        <v>2199</v>
      </c>
    </row>
    <row r="451" spans="2:16" ht="27.75" customHeight="1">
      <c r="B451" s="25">
        <f t="shared" si="6"/>
        <v>420</v>
      </c>
      <c r="C451" s="42" t="s">
        <v>443</v>
      </c>
      <c r="D451" s="17" t="s">
        <v>443</v>
      </c>
      <c r="E451" s="26" t="s">
        <v>1148</v>
      </c>
      <c r="F451" s="205" t="s">
        <v>2200</v>
      </c>
      <c r="G451" s="25" t="s">
        <v>2201</v>
      </c>
      <c r="H451" s="25"/>
      <c r="I451" s="35">
        <v>4</v>
      </c>
      <c r="J451" s="36" t="s">
        <v>1256</v>
      </c>
      <c r="K451" s="37"/>
      <c r="L451" s="38"/>
      <c r="M451" s="39"/>
      <c r="N451" s="44">
        <v>500</v>
      </c>
      <c r="O451" s="25" t="s">
        <v>1542</v>
      </c>
      <c r="P451" s="34" t="s">
        <v>2202</v>
      </c>
    </row>
    <row r="452" spans="2:16" ht="27.75" customHeight="1">
      <c r="B452" s="25">
        <f t="shared" si="6"/>
        <v>421</v>
      </c>
      <c r="C452" s="42" t="s">
        <v>422</v>
      </c>
      <c r="D452" s="17" t="s">
        <v>422</v>
      </c>
      <c r="E452" s="26" t="s">
        <v>1147</v>
      </c>
      <c r="F452" s="205" t="s">
        <v>2203</v>
      </c>
      <c r="G452" s="25" t="s">
        <v>2204</v>
      </c>
      <c r="H452" s="25"/>
      <c r="I452" s="35">
        <v>4</v>
      </c>
      <c r="J452" s="36" t="s">
        <v>1256</v>
      </c>
      <c r="K452" s="37"/>
      <c r="L452" s="38"/>
      <c r="M452" s="39"/>
      <c r="N452" s="44">
        <v>500</v>
      </c>
      <c r="O452" s="25" t="s">
        <v>1542</v>
      </c>
      <c r="P452" s="34" t="s">
        <v>2205</v>
      </c>
    </row>
    <row r="453" spans="2:16" ht="27.75" customHeight="1">
      <c r="B453" s="25">
        <f t="shared" si="6"/>
        <v>422</v>
      </c>
      <c r="C453" s="42" t="s">
        <v>548</v>
      </c>
      <c r="D453" s="17" t="s">
        <v>548</v>
      </c>
      <c r="E453" s="26" t="s">
        <v>1176</v>
      </c>
      <c r="F453" s="205" t="s">
        <v>2206</v>
      </c>
      <c r="G453" s="25" t="s">
        <v>2207</v>
      </c>
      <c r="H453" s="25"/>
      <c r="I453" s="35">
        <v>4</v>
      </c>
      <c r="J453" s="36" t="s">
        <v>1256</v>
      </c>
      <c r="K453" s="37"/>
      <c r="L453" s="38"/>
      <c r="M453" s="39"/>
      <c r="N453" s="44">
        <v>500</v>
      </c>
      <c r="O453" s="25" t="s">
        <v>1542</v>
      </c>
      <c r="P453" s="34" t="s">
        <v>2208</v>
      </c>
    </row>
    <row r="454" spans="2:16" ht="27.75" customHeight="1">
      <c r="B454" s="25">
        <f t="shared" si="6"/>
        <v>423</v>
      </c>
      <c r="C454" s="42" t="s">
        <v>517</v>
      </c>
      <c r="D454" s="17" t="s">
        <v>517</v>
      </c>
      <c r="E454" s="26" t="s">
        <v>1160</v>
      </c>
      <c r="F454" s="205" t="s">
        <v>2209</v>
      </c>
      <c r="G454" s="25" t="s">
        <v>2210</v>
      </c>
      <c r="H454" s="25"/>
      <c r="I454" s="35">
        <v>4</v>
      </c>
      <c r="J454" s="36" t="s">
        <v>1256</v>
      </c>
      <c r="K454" s="37"/>
      <c r="L454" s="38"/>
      <c r="M454" s="39"/>
      <c r="N454" s="44">
        <v>500</v>
      </c>
      <c r="O454" s="25" t="s">
        <v>1542</v>
      </c>
      <c r="P454" s="34" t="s">
        <v>2211</v>
      </c>
    </row>
    <row r="455" spans="2:16" ht="27.75" customHeight="1">
      <c r="B455" s="25">
        <f t="shared" ref="B455:B518" si="7">B454+1</f>
        <v>424</v>
      </c>
      <c r="C455" s="42" t="s">
        <v>394</v>
      </c>
      <c r="D455" s="17" t="s">
        <v>394</v>
      </c>
      <c r="E455" s="26" t="s">
        <v>1142</v>
      </c>
      <c r="F455" s="205" t="s">
        <v>2212</v>
      </c>
      <c r="G455" s="25" t="s">
        <v>2213</v>
      </c>
      <c r="H455" s="25"/>
      <c r="I455" s="35">
        <v>4</v>
      </c>
      <c r="J455" s="36" t="s">
        <v>1256</v>
      </c>
      <c r="K455" s="37"/>
      <c r="L455" s="38"/>
      <c r="M455" s="39"/>
      <c r="N455" s="44">
        <v>500</v>
      </c>
      <c r="O455" s="25" t="s">
        <v>1542</v>
      </c>
      <c r="P455" s="34" t="s">
        <v>2214</v>
      </c>
    </row>
    <row r="456" spans="2:16" ht="27.75" customHeight="1">
      <c r="B456" s="25">
        <f t="shared" si="7"/>
        <v>425</v>
      </c>
      <c r="C456" s="42" t="s">
        <v>400</v>
      </c>
      <c r="D456" s="17" t="s">
        <v>400</v>
      </c>
      <c r="E456" s="26" t="s">
        <v>1146</v>
      </c>
      <c r="F456" s="205" t="s">
        <v>2215</v>
      </c>
      <c r="G456" s="25" t="s">
        <v>2216</v>
      </c>
      <c r="H456" s="25"/>
      <c r="I456" s="35">
        <v>4</v>
      </c>
      <c r="J456" s="36" t="s">
        <v>1256</v>
      </c>
      <c r="K456" s="37"/>
      <c r="L456" s="38"/>
      <c r="M456" s="39"/>
      <c r="N456" s="44">
        <v>500</v>
      </c>
      <c r="O456" s="25" t="s">
        <v>1542</v>
      </c>
      <c r="P456" s="34" t="s">
        <v>2217</v>
      </c>
    </row>
    <row r="457" spans="2:16" ht="27.75" customHeight="1">
      <c r="B457" s="25">
        <f t="shared" si="7"/>
        <v>426</v>
      </c>
      <c r="C457" s="42" t="s">
        <v>245</v>
      </c>
      <c r="D457" s="17" t="s">
        <v>245</v>
      </c>
      <c r="E457" s="26" t="s">
        <v>1137</v>
      </c>
      <c r="F457" s="205" t="s">
        <v>2218</v>
      </c>
      <c r="G457" s="25" t="s">
        <v>2219</v>
      </c>
      <c r="H457" s="25"/>
      <c r="I457" s="35">
        <v>4</v>
      </c>
      <c r="J457" s="36" t="s">
        <v>1256</v>
      </c>
      <c r="K457" s="37"/>
      <c r="L457" s="38"/>
      <c r="M457" s="39"/>
      <c r="N457" s="44">
        <v>500</v>
      </c>
      <c r="O457" s="25" t="s">
        <v>1542</v>
      </c>
      <c r="P457" s="34" t="s">
        <v>2220</v>
      </c>
    </row>
    <row r="458" spans="2:16" ht="27.75" customHeight="1">
      <c r="B458" s="25">
        <f t="shared" si="7"/>
        <v>427</v>
      </c>
      <c r="C458" s="42" t="s">
        <v>518</v>
      </c>
      <c r="D458" s="17" t="s">
        <v>518</v>
      </c>
      <c r="E458" s="26" t="s">
        <v>1161</v>
      </c>
      <c r="F458" s="205" t="s">
        <v>2221</v>
      </c>
      <c r="G458" s="25" t="s">
        <v>2222</v>
      </c>
      <c r="H458" s="25"/>
      <c r="I458" s="35">
        <v>4</v>
      </c>
      <c r="J458" s="36" t="s">
        <v>1256</v>
      </c>
      <c r="K458" s="37"/>
      <c r="L458" s="38"/>
      <c r="M458" s="39"/>
      <c r="N458" s="44">
        <v>500</v>
      </c>
      <c r="O458" s="25" t="s">
        <v>1542</v>
      </c>
      <c r="P458" s="34" t="s">
        <v>2223</v>
      </c>
    </row>
    <row r="459" spans="2:16" ht="27.75" customHeight="1">
      <c r="B459" s="25">
        <f t="shared" si="7"/>
        <v>428</v>
      </c>
      <c r="C459" s="42" t="s">
        <v>459</v>
      </c>
      <c r="D459" s="17" t="s">
        <v>459</v>
      </c>
      <c r="E459" s="26" t="s">
        <v>1149</v>
      </c>
      <c r="F459" s="205" t="s">
        <v>2224</v>
      </c>
      <c r="G459" s="25" t="s">
        <v>2225</v>
      </c>
      <c r="H459" s="25"/>
      <c r="I459" s="35">
        <v>4</v>
      </c>
      <c r="J459" s="36" t="s">
        <v>1256</v>
      </c>
      <c r="K459" s="37"/>
      <c r="L459" s="38"/>
      <c r="M459" s="39"/>
      <c r="N459" s="44">
        <v>500</v>
      </c>
      <c r="O459" s="63" t="s">
        <v>1542</v>
      </c>
      <c r="P459" s="34" t="s">
        <v>1413</v>
      </c>
    </row>
    <row r="460" spans="2:16" ht="27.75" customHeight="1">
      <c r="B460" s="25">
        <f t="shared" si="7"/>
        <v>429</v>
      </c>
      <c r="C460" s="42" t="s">
        <v>542</v>
      </c>
      <c r="D460" s="17" t="s">
        <v>542</v>
      </c>
      <c r="E460" s="26" t="s">
        <v>1171</v>
      </c>
      <c r="F460" s="205" t="s">
        <v>2226</v>
      </c>
      <c r="G460" s="25" t="s">
        <v>2227</v>
      </c>
      <c r="H460" s="25"/>
      <c r="I460" s="35">
        <v>4</v>
      </c>
      <c r="J460" s="36" t="s">
        <v>1256</v>
      </c>
      <c r="K460" s="37"/>
      <c r="L460" s="38"/>
      <c r="M460" s="39"/>
      <c r="N460" s="44">
        <v>500</v>
      </c>
      <c r="O460" s="25" t="s">
        <v>1542</v>
      </c>
      <c r="P460" s="34" t="s">
        <v>2228</v>
      </c>
    </row>
    <row r="461" spans="2:16" ht="27.75" customHeight="1">
      <c r="B461" s="25">
        <f t="shared" si="7"/>
        <v>430</v>
      </c>
      <c r="C461" s="42" t="s">
        <v>545</v>
      </c>
      <c r="D461" s="17" t="s">
        <v>545</v>
      </c>
      <c r="E461" s="26" t="s">
        <v>1174</v>
      </c>
      <c r="F461" s="205" t="s">
        <v>2229</v>
      </c>
      <c r="G461" s="25" t="s">
        <v>2230</v>
      </c>
      <c r="H461" s="25"/>
      <c r="I461" s="35">
        <v>4</v>
      </c>
      <c r="J461" s="36" t="s">
        <v>1256</v>
      </c>
      <c r="K461" s="37"/>
      <c r="L461" s="38"/>
      <c r="M461" s="39"/>
      <c r="N461" s="44">
        <v>500</v>
      </c>
      <c r="O461" s="63" t="s">
        <v>1542</v>
      </c>
      <c r="P461" s="34" t="s">
        <v>2231</v>
      </c>
    </row>
    <row r="462" spans="2:16" ht="27.75" customHeight="1">
      <c r="B462" s="25">
        <f t="shared" si="7"/>
        <v>431</v>
      </c>
      <c r="C462" s="42" t="s">
        <v>547</v>
      </c>
      <c r="D462" s="17" t="s">
        <v>547</v>
      </c>
      <c r="E462" s="26" t="s">
        <v>1175</v>
      </c>
      <c r="F462" s="205" t="s">
        <v>2232</v>
      </c>
      <c r="G462" s="25" t="s">
        <v>2233</v>
      </c>
      <c r="H462" s="25"/>
      <c r="I462" s="35">
        <v>4</v>
      </c>
      <c r="J462" s="36" t="s">
        <v>1256</v>
      </c>
      <c r="K462" s="37"/>
      <c r="L462" s="38"/>
      <c r="M462" s="39"/>
      <c r="N462" s="44">
        <v>500</v>
      </c>
      <c r="O462" s="63" t="s">
        <v>1542</v>
      </c>
      <c r="P462" s="34" t="s">
        <v>2234</v>
      </c>
    </row>
    <row r="463" spans="2:16" ht="27.75" customHeight="1">
      <c r="B463" s="25">
        <f t="shared" si="7"/>
        <v>432</v>
      </c>
      <c r="C463" s="42" t="s">
        <v>544</v>
      </c>
      <c r="D463" s="17" t="s">
        <v>544</v>
      </c>
      <c r="E463" s="26" t="s">
        <v>1173</v>
      </c>
      <c r="F463" s="205" t="s">
        <v>2235</v>
      </c>
      <c r="G463" s="25" t="s">
        <v>2236</v>
      </c>
      <c r="H463" s="25"/>
      <c r="I463" s="35">
        <v>4</v>
      </c>
      <c r="J463" s="36" t="s">
        <v>1256</v>
      </c>
      <c r="K463" s="37"/>
      <c r="L463" s="38"/>
      <c r="M463" s="39"/>
      <c r="N463" s="44">
        <v>500</v>
      </c>
      <c r="O463" s="25" t="s">
        <v>1542</v>
      </c>
      <c r="P463" s="34" t="s">
        <v>2231</v>
      </c>
    </row>
    <row r="464" spans="2:16" ht="27.75" customHeight="1">
      <c r="B464" s="25">
        <f t="shared" si="7"/>
        <v>433</v>
      </c>
      <c r="C464" s="42" t="s">
        <v>537</v>
      </c>
      <c r="D464" s="17" t="s">
        <v>537</v>
      </c>
      <c r="E464" s="26" t="s">
        <v>1167</v>
      </c>
      <c r="F464" s="205" t="s">
        <v>2237</v>
      </c>
      <c r="G464" s="25" t="s">
        <v>2238</v>
      </c>
      <c r="H464" s="25"/>
      <c r="I464" s="35">
        <v>4</v>
      </c>
      <c r="J464" s="36" t="s">
        <v>1256</v>
      </c>
      <c r="K464" s="37"/>
      <c r="L464" s="38"/>
      <c r="M464" s="39"/>
      <c r="N464" s="44">
        <v>500</v>
      </c>
      <c r="O464" s="25" t="s">
        <v>1542</v>
      </c>
      <c r="P464" s="34" t="s">
        <v>1409</v>
      </c>
    </row>
    <row r="465" spans="2:16" ht="27.75" customHeight="1">
      <c r="B465" s="25">
        <f t="shared" si="7"/>
        <v>434</v>
      </c>
      <c r="C465" s="42" t="s">
        <v>514</v>
      </c>
      <c r="D465" s="17" t="s">
        <v>514</v>
      </c>
      <c r="E465" s="26" t="s">
        <v>1159</v>
      </c>
      <c r="F465" s="205" t="s">
        <v>2239</v>
      </c>
      <c r="G465" s="25" t="s">
        <v>2240</v>
      </c>
      <c r="H465" s="25"/>
      <c r="I465" s="35">
        <v>4</v>
      </c>
      <c r="J465" s="36" t="s">
        <v>1256</v>
      </c>
      <c r="K465" s="37"/>
      <c r="L465" s="38"/>
      <c r="M465" s="39"/>
      <c r="N465" s="44">
        <v>500</v>
      </c>
      <c r="O465" s="63" t="s">
        <v>1542</v>
      </c>
      <c r="P465" s="34" t="s">
        <v>2241</v>
      </c>
    </row>
    <row r="466" spans="2:16" ht="27.75" customHeight="1">
      <c r="B466" s="25">
        <f t="shared" si="7"/>
        <v>435</v>
      </c>
      <c r="C466" s="42" t="s">
        <v>539</v>
      </c>
      <c r="D466" s="17" t="s">
        <v>539</v>
      </c>
      <c r="E466" s="26" t="s">
        <v>1168</v>
      </c>
      <c r="F466" s="205" t="s">
        <v>2242</v>
      </c>
      <c r="G466" s="25" t="s">
        <v>2243</v>
      </c>
      <c r="H466" s="25"/>
      <c r="I466" s="35">
        <v>4</v>
      </c>
      <c r="J466" s="36" t="s">
        <v>1256</v>
      </c>
      <c r="K466" s="37"/>
      <c r="L466" s="38"/>
      <c r="M466" s="39"/>
      <c r="N466" s="44">
        <v>500</v>
      </c>
      <c r="O466" s="25" t="s">
        <v>1542</v>
      </c>
      <c r="P466" s="34" t="s">
        <v>1374</v>
      </c>
    </row>
    <row r="467" spans="2:16" ht="27.75" customHeight="1">
      <c r="B467" s="25">
        <f t="shared" si="7"/>
        <v>436</v>
      </c>
      <c r="C467" s="42" t="s">
        <v>505</v>
      </c>
      <c r="D467" s="17" t="s">
        <v>505</v>
      </c>
      <c r="E467" s="26" t="s">
        <v>1154</v>
      </c>
      <c r="F467" s="205" t="s">
        <v>2244</v>
      </c>
      <c r="G467" s="25" t="s">
        <v>2245</v>
      </c>
      <c r="H467" s="25"/>
      <c r="I467" s="35">
        <v>4</v>
      </c>
      <c r="J467" s="36" t="s">
        <v>1256</v>
      </c>
      <c r="K467" s="37"/>
      <c r="L467" s="38"/>
      <c r="M467" s="39"/>
      <c r="N467" s="44">
        <v>500</v>
      </c>
      <c r="O467" s="25" t="s">
        <v>1542</v>
      </c>
      <c r="P467" s="34" t="s">
        <v>2231</v>
      </c>
    </row>
    <row r="468" spans="2:16" ht="27.75" customHeight="1">
      <c r="B468" s="25">
        <f t="shared" si="7"/>
        <v>437</v>
      </c>
      <c r="C468" s="42" t="s">
        <v>530</v>
      </c>
      <c r="D468" s="17" t="s">
        <v>530</v>
      </c>
      <c r="E468" s="26" t="s">
        <v>1164</v>
      </c>
      <c r="F468" s="205" t="s">
        <v>2246</v>
      </c>
      <c r="G468" s="25" t="s">
        <v>2247</v>
      </c>
      <c r="H468" s="25"/>
      <c r="I468" s="35">
        <v>4</v>
      </c>
      <c r="J468" s="36" t="s">
        <v>1256</v>
      </c>
      <c r="K468" s="37"/>
      <c r="L468" s="38"/>
      <c r="M468" s="39"/>
      <c r="N468" s="44">
        <v>500</v>
      </c>
      <c r="O468" s="25" t="s">
        <v>1542</v>
      </c>
      <c r="P468" s="34" t="s">
        <v>2199</v>
      </c>
    </row>
    <row r="469" spans="2:16" ht="27.75" customHeight="1">
      <c r="B469" s="25">
        <f t="shared" si="7"/>
        <v>438</v>
      </c>
      <c r="C469" s="42" t="s">
        <v>1042</v>
      </c>
      <c r="D469" s="17" t="s">
        <v>1042</v>
      </c>
      <c r="E469" s="26" t="s">
        <v>1209</v>
      </c>
      <c r="F469" s="205" t="s">
        <v>2248</v>
      </c>
      <c r="G469" s="25" t="s">
        <v>2249</v>
      </c>
      <c r="H469" s="25"/>
      <c r="I469" s="35">
        <v>4</v>
      </c>
      <c r="J469" s="36" t="s">
        <v>1256</v>
      </c>
      <c r="K469" s="37"/>
      <c r="L469" s="38"/>
      <c r="M469" s="39"/>
      <c r="N469" s="44">
        <v>500</v>
      </c>
      <c r="O469" s="25" t="s">
        <v>1542</v>
      </c>
      <c r="P469" s="34" t="s">
        <v>2250</v>
      </c>
    </row>
    <row r="470" spans="2:16" ht="27.75" customHeight="1">
      <c r="B470" s="25">
        <f t="shared" si="7"/>
        <v>439</v>
      </c>
      <c r="C470" s="42" t="s">
        <v>1041</v>
      </c>
      <c r="D470" s="17" t="s">
        <v>1041</v>
      </c>
      <c r="E470" s="26" t="s">
        <v>1208</v>
      </c>
      <c r="F470" s="205" t="s">
        <v>2251</v>
      </c>
      <c r="G470" s="25" t="s">
        <v>2252</v>
      </c>
      <c r="H470" s="25" t="s">
        <v>1215</v>
      </c>
      <c r="I470" s="35">
        <v>2</v>
      </c>
      <c r="J470" s="36" t="s">
        <v>1256</v>
      </c>
      <c r="K470" s="37"/>
      <c r="L470" s="38"/>
      <c r="M470" s="39"/>
      <c r="N470" s="44">
        <v>500</v>
      </c>
      <c r="O470" s="25" t="s">
        <v>1542</v>
      </c>
      <c r="P470" s="34" t="s">
        <v>2253</v>
      </c>
    </row>
    <row r="471" spans="2:16" ht="27.75" customHeight="1">
      <c r="B471" s="25">
        <f t="shared" si="7"/>
        <v>440</v>
      </c>
      <c r="C471" s="42" t="s">
        <v>205</v>
      </c>
      <c r="D471" s="17" t="s">
        <v>205</v>
      </c>
      <c r="E471" s="26" t="e">
        <f>VLOOKUP(C471,#REF!,3,0)</f>
        <v>#REF!</v>
      </c>
      <c r="F471" s="205" t="s">
        <v>3744</v>
      </c>
      <c r="G471" s="25" t="s">
        <v>2254</v>
      </c>
      <c r="H471" s="25"/>
      <c r="I471" s="35">
        <v>4</v>
      </c>
      <c r="J471" s="36" t="s">
        <v>1256</v>
      </c>
      <c r="K471" s="37"/>
      <c r="L471" s="38"/>
      <c r="M471" s="39"/>
      <c r="N471" s="44">
        <v>500</v>
      </c>
      <c r="O471" s="63" t="s">
        <v>1290</v>
      </c>
      <c r="P471" s="34" t="s">
        <v>2255</v>
      </c>
    </row>
    <row r="472" spans="2:16" ht="27.75" customHeight="1">
      <c r="B472" s="25">
        <f t="shared" si="7"/>
        <v>441</v>
      </c>
      <c r="C472" s="42" t="s">
        <v>138</v>
      </c>
      <c r="D472" s="17" t="s">
        <v>138</v>
      </c>
      <c r="E472" s="26" t="s">
        <v>1130</v>
      </c>
      <c r="F472" s="205" t="s">
        <v>2256</v>
      </c>
      <c r="G472" s="25" t="s">
        <v>2257</v>
      </c>
      <c r="H472" s="25"/>
      <c r="I472" s="35">
        <v>4</v>
      </c>
      <c r="J472" s="36" t="s">
        <v>1256</v>
      </c>
      <c r="K472" s="37"/>
      <c r="L472" s="38"/>
      <c r="M472" s="39"/>
      <c r="N472" s="44">
        <v>500</v>
      </c>
      <c r="O472" s="63" t="s">
        <v>1542</v>
      </c>
      <c r="P472" s="34" t="s">
        <v>2258</v>
      </c>
    </row>
    <row r="473" spans="2:16" ht="27.75" customHeight="1">
      <c r="B473" s="25">
        <f t="shared" si="7"/>
        <v>442</v>
      </c>
      <c r="C473" s="42" t="s">
        <v>139</v>
      </c>
      <c r="D473" s="17" t="s">
        <v>139</v>
      </c>
      <c r="E473" s="26" t="s">
        <v>1131</v>
      </c>
      <c r="F473" s="205" t="s">
        <v>2259</v>
      </c>
      <c r="G473" s="25" t="s">
        <v>2260</v>
      </c>
      <c r="H473" s="25"/>
      <c r="I473" s="35">
        <v>4</v>
      </c>
      <c r="J473" s="36" t="s">
        <v>1256</v>
      </c>
      <c r="K473" s="37"/>
      <c r="L473" s="38"/>
      <c r="M473" s="39"/>
      <c r="N473" s="44">
        <v>500</v>
      </c>
      <c r="O473" s="25" t="s">
        <v>1290</v>
      </c>
      <c r="P473" s="34" t="s">
        <v>2261</v>
      </c>
    </row>
    <row r="474" spans="2:16" ht="27.75" customHeight="1">
      <c r="B474" s="25">
        <f t="shared" si="7"/>
        <v>443</v>
      </c>
      <c r="C474" s="42" t="s">
        <v>504</v>
      </c>
      <c r="D474" s="17" t="s">
        <v>504</v>
      </c>
      <c r="E474" s="26" t="e">
        <f>VLOOKUP(C474,#REF!,3,0)</f>
        <v>#REF!</v>
      </c>
      <c r="F474" s="205" t="s">
        <v>2262</v>
      </c>
      <c r="G474" s="25" t="s">
        <v>2263</v>
      </c>
      <c r="H474" s="25"/>
      <c r="I474" s="35">
        <v>4</v>
      </c>
      <c r="J474" s="36" t="s">
        <v>1256</v>
      </c>
      <c r="K474" s="37"/>
      <c r="L474" s="38"/>
      <c r="M474" s="39"/>
      <c r="N474" s="44">
        <v>500</v>
      </c>
      <c r="O474" s="63" t="s">
        <v>1290</v>
      </c>
      <c r="P474" s="34" t="s">
        <v>2147</v>
      </c>
    </row>
    <row r="475" spans="2:16" ht="27.75" customHeight="1">
      <c r="B475" s="25">
        <f t="shared" si="7"/>
        <v>444</v>
      </c>
      <c r="C475" s="42" t="s">
        <v>501</v>
      </c>
      <c r="D475" s="17" t="s">
        <v>501</v>
      </c>
      <c r="E475" s="26" t="e">
        <f>VLOOKUP(C475,#REF!,3,0)</f>
        <v>#REF!</v>
      </c>
      <c r="F475" s="205" t="s">
        <v>2264</v>
      </c>
      <c r="G475" s="25" t="s">
        <v>2265</v>
      </c>
      <c r="H475" s="25"/>
      <c r="I475" s="35">
        <v>4</v>
      </c>
      <c r="J475" s="36" t="s">
        <v>1256</v>
      </c>
      <c r="K475" s="37"/>
      <c r="L475" s="38"/>
      <c r="M475" s="39"/>
      <c r="N475" s="44">
        <v>500</v>
      </c>
      <c r="O475" s="25" t="s">
        <v>1290</v>
      </c>
      <c r="P475" s="34" t="s">
        <v>2266</v>
      </c>
    </row>
    <row r="476" spans="2:16" ht="27.75" customHeight="1">
      <c r="B476" s="25">
        <f t="shared" si="7"/>
        <v>445</v>
      </c>
      <c r="C476" s="42" t="s">
        <v>527</v>
      </c>
      <c r="D476" s="17" t="s">
        <v>527</v>
      </c>
      <c r="E476" s="26" t="e">
        <f>VLOOKUP(C476,#REF!,3,0)</f>
        <v>#REF!</v>
      </c>
      <c r="F476" s="205" t="s">
        <v>2267</v>
      </c>
      <c r="G476" s="25" t="s">
        <v>2268</v>
      </c>
      <c r="H476" s="25"/>
      <c r="I476" s="35">
        <v>4</v>
      </c>
      <c r="J476" s="36" t="s">
        <v>1256</v>
      </c>
      <c r="K476" s="37"/>
      <c r="L476" s="38"/>
      <c r="M476" s="39"/>
      <c r="N476" s="44">
        <v>500</v>
      </c>
      <c r="O476" s="25" t="s">
        <v>1290</v>
      </c>
      <c r="P476" s="34" t="s">
        <v>2269</v>
      </c>
    </row>
    <row r="477" spans="2:16" ht="27.75" customHeight="1">
      <c r="B477" s="25">
        <f t="shared" si="7"/>
        <v>446</v>
      </c>
      <c r="C477" s="42" t="s">
        <v>512</v>
      </c>
      <c r="D477" s="17" t="s">
        <v>512</v>
      </c>
      <c r="E477" s="26" t="e">
        <f>VLOOKUP(C477,#REF!,3,0)</f>
        <v>#REF!</v>
      </c>
      <c r="F477" s="205" t="s">
        <v>2270</v>
      </c>
      <c r="G477" s="25" t="s">
        <v>2271</v>
      </c>
      <c r="H477" s="25"/>
      <c r="I477" s="35">
        <v>4</v>
      </c>
      <c r="J477" s="36" t="s">
        <v>1256</v>
      </c>
      <c r="K477" s="37"/>
      <c r="L477" s="38"/>
      <c r="M477" s="39"/>
      <c r="N477" s="44">
        <v>500</v>
      </c>
      <c r="O477" s="25" t="s">
        <v>1290</v>
      </c>
      <c r="P477" s="34" t="s">
        <v>2199</v>
      </c>
    </row>
    <row r="478" spans="2:16" ht="27.75" customHeight="1">
      <c r="B478" s="25">
        <f t="shared" si="7"/>
        <v>447</v>
      </c>
      <c r="C478" s="42" t="s">
        <v>73</v>
      </c>
      <c r="D478" s="17" t="s">
        <v>73</v>
      </c>
      <c r="E478" s="26" t="e">
        <f>VLOOKUP(C478,#REF!,3,0)</f>
        <v>#REF!</v>
      </c>
      <c r="F478" s="205" t="s">
        <v>2272</v>
      </c>
      <c r="G478" s="25" t="s">
        <v>2273</v>
      </c>
      <c r="H478" s="25"/>
      <c r="I478" s="35">
        <v>4</v>
      </c>
      <c r="J478" s="36" t="s">
        <v>1256</v>
      </c>
      <c r="K478" s="37"/>
      <c r="L478" s="38"/>
      <c r="M478" s="39"/>
      <c r="N478" s="44">
        <v>500</v>
      </c>
      <c r="O478" s="25" t="s">
        <v>1290</v>
      </c>
      <c r="P478" s="34" t="s">
        <v>2274</v>
      </c>
    </row>
    <row r="479" spans="2:16" ht="27.75" customHeight="1">
      <c r="B479" s="25">
        <f t="shared" si="7"/>
        <v>448</v>
      </c>
      <c r="C479" s="42" t="s">
        <v>546</v>
      </c>
      <c r="D479" s="17" t="s">
        <v>546</v>
      </c>
      <c r="E479" s="26" t="e">
        <f>VLOOKUP(C479,#REF!,3,0)</f>
        <v>#REF!</v>
      </c>
      <c r="F479" s="205" t="s">
        <v>2275</v>
      </c>
      <c r="G479" s="25" t="s">
        <v>2276</v>
      </c>
      <c r="H479" s="25"/>
      <c r="I479" s="35">
        <v>4</v>
      </c>
      <c r="J479" s="36" t="s">
        <v>1256</v>
      </c>
      <c r="K479" s="37"/>
      <c r="L479" s="38"/>
      <c r="M479" s="39"/>
      <c r="N479" s="44">
        <v>500</v>
      </c>
      <c r="O479" s="25" t="s">
        <v>1290</v>
      </c>
      <c r="P479" s="34" t="s">
        <v>2277</v>
      </c>
    </row>
    <row r="480" spans="2:16" ht="27.75" customHeight="1">
      <c r="B480" s="25">
        <f t="shared" si="7"/>
        <v>449</v>
      </c>
      <c r="C480" s="42" t="s">
        <v>508</v>
      </c>
      <c r="D480" s="17" t="s">
        <v>508</v>
      </c>
      <c r="E480" s="26" t="e">
        <f>VLOOKUP(C480,#REF!,3,0)</f>
        <v>#REF!</v>
      </c>
      <c r="F480" s="205" t="s">
        <v>2278</v>
      </c>
      <c r="G480" s="25" t="s">
        <v>2279</v>
      </c>
      <c r="H480" s="25"/>
      <c r="I480" s="35">
        <v>4</v>
      </c>
      <c r="J480" s="36" t="s">
        <v>1256</v>
      </c>
      <c r="K480" s="37"/>
      <c r="L480" s="38"/>
      <c r="M480" s="39"/>
      <c r="N480" s="44">
        <v>500</v>
      </c>
      <c r="O480" s="25" t="s">
        <v>1290</v>
      </c>
      <c r="P480" s="34" t="s">
        <v>2280</v>
      </c>
    </row>
    <row r="481" spans="2:16" ht="27.75" customHeight="1">
      <c r="B481" s="25">
        <f t="shared" si="7"/>
        <v>450</v>
      </c>
      <c r="C481" s="42" t="s">
        <v>532</v>
      </c>
      <c r="D481" s="17" t="s">
        <v>532</v>
      </c>
      <c r="E481" s="26" t="e">
        <f>VLOOKUP(C481,#REF!,3,0)</f>
        <v>#REF!</v>
      </c>
      <c r="F481" s="205" t="s">
        <v>2281</v>
      </c>
      <c r="G481" s="25" t="s">
        <v>2282</v>
      </c>
      <c r="H481" s="25"/>
      <c r="I481" s="35">
        <v>4</v>
      </c>
      <c r="J481" s="36" t="s">
        <v>1256</v>
      </c>
      <c r="K481" s="37"/>
      <c r="L481" s="38"/>
      <c r="M481" s="39"/>
      <c r="N481" s="44">
        <v>500</v>
      </c>
      <c r="O481" s="25" t="s">
        <v>1290</v>
      </c>
      <c r="P481" s="34" t="s">
        <v>2283</v>
      </c>
    </row>
    <row r="482" spans="2:16" ht="27.75" customHeight="1">
      <c r="B482" s="25">
        <f t="shared" si="7"/>
        <v>451</v>
      </c>
      <c r="C482" s="42" t="s">
        <v>516</v>
      </c>
      <c r="D482" s="17" t="s">
        <v>516</v>
      </c>
      <c r="E482" s="26" t="e">
        <f>VLOOKUP(C482,#REF!,3,0)</f>
        <v>#REF!</v>
      </c>
      <c r="F482" s="205" t="s">
        <v>2284</v>
      </c>
      <c r="G482" s="25" t="s">
        <v>2285</v>
      </c>
      <c r="H482" s="25"/>
      <c r="I482" s="35">
        <v>4</v>
      </c>
      <c r="J482" s="36" t="s">
        <v>1256</v>
      </c>
      <c r="K482" s="37"/>
      <c r="L482" s="38"/>
      <c r="M482" s="39"/>
      <c r="N482" s="44">
        <v>500</v>
      </c>
      <c r="O482" s="25" t="s">
        <v>1290</v>
      </c>
      <c r="P482" s="34" t="s">
        <v>2286</v>
      </c>
    </row>
    <row r="483" spans="2:16" ht="27.75" customHeight="1">
      <c r="B483" s="25">
        <f t="shared" si="7"/>
        <v>452</v>
      </c>
      <c r="C483" s="42" t="s">
        <v>515</v>
      </c>
      <c r="D483" s="17" t="s">
        <v>515</v>
      </c>
      <c r="E483" s="26" t="e">
        <f>VLOOKUP(C483,#REF!,3,0)</f>
        <v>#REF!</v>
      </c>
      <c r="F483" s="205" t="s">
        <v>2287</v>
      </c>
      <c r="G483" s="25" t="s">
        <v>2288</v>
      </c>
      <c r="H483" s="25"/>
      <c r="I483" s="35">
        <v>4</v>
      </c>
      <c r="J483" s="36" t="s">
        <v>1256</v>
      </c>
      <c r="K483" s="37"/>
      <c r="L483" s="38"/>
      <c r="M483" s="39"/>
      <c r="N483" s="44">
        <v>500</v>
      </c>
      <c r="O483" s="25" t="s">
        <v>1290</v>
      </c>
      <c r="P483" s="34" t="s">
        <v>2286</v>
      </c>
    </row>
    <row r="484" spans="2:16" ht="27.75" customHeight="1">
      <c r="B484" s="25">
        <f t="shared" si="7"/>
        <v>453</v>
      </c>
      <c r="C484" s="42" t="s">
        <v>534</v>
      </c>
      <c r="D484" s="17" t="s">
        <v>534</v>
      </c>
      <c r="E484" s="26" t="e">
        <f>VLOOKUP(C484,#REF!,3,0)</f>
        <v>#REF!</v>
      </c>
      <c r="F484" s="205" t="s">
        <v>2289</v>
      </c>
      <c r="G484" s="25" t="s">
        <v>2290</v>
      </c>
      <c r="H484" s="25"/>
      <c r="I484" s="35">
        <v>4</v>
      </c>
      <c r="J484" s="36" t="s">
        <v>1256</v>
      </c>
      <c r="K484" s="37"/>
      <c r="L484" s="38"/>
      <c r="M484" s="39"/>
      <c r="N484" s="44">
        <v>500</v>
      </c>
      <c r="O484" s="25" t="s">
        <v>1290</v>
      </c>
      <c r="P484" s="34" t="s">
        <v>1413</v>
      </c>
    </row>
    <row r="485" spans="2:16" ht="27.75" customHeight="1">
      <c r="B485" s="25">
        <f t="shared" si="7"/>
        <v>454</v>
      </c>
      <c r="C485" s="42" t="s">
        <v>525</v>
      </c>
      <c r="D485" s="17" t="s">
        <v>525</v>
      </c>
      <c r="E485" s="26" t="e">
        <f>VLOOKUP(C485,#REF!,3,0)</f>
        <v>#REF!</v>
      </c>
      <c r="F485" s="205" t="s">
        <v>2291</v>
      </c>
      <c r="G485" s="25" t="s">
        <v>2292</v>
      </c>
      <c r="H485" s="25"/>
      <c r="I485" s="35">
        <v>4</v>
      </c>
      <c r="J485" s="36" t="s">
        <v>1256</v>
      </c>
      <c r="K485" s="37"/>
      <c r="L485" s="38"/>
      <c r="M485" s="39"/>
      <c r="N485" s="44">
        <v>500</v>
      </c>
      <c r="O485" s="63" t="s">
        <v>1290</v>
      </c>
      <c r="P485" s="34" t="s">
        <v>2293</v>
      </c>
    </row>
    <row r="486" spans="2:16" ht="27.75" customHeight="1">
      <c r="B486" s="25">
        <f t="shared" si="7"/>
        <v>455</v>
      </c>
      <c r="C486" s="42" t="s">
        <v>526</v>
      </c>
      <c r="D486" s="17" t="s">
        <v>526</v>
      </c>
      <c r="E486" s="26" t="e">
        <f>VLOOKUP(C486,#REF!,3,0)</f>
        <v>#REF!</v>
      </c>
      <c r="F486" s="205" t="s">
        <v>2294</v>
      </c>
      <c r="G486" s="25" t="s">
        <v>2295</v>
      </c>
      <c r="H486" s="25"/>
      <c r="I486" s="35">
        <v>4</v>
      </c>
      <c r="J486" s="36" t="s">
        <v>1256</v>
      </c>
      <c r="K486" s="37"/>
      <c r="L486" s="38"/>
      <c r="M486" s="39"/>
      <c r="N486" s="44">
        <v>500</v>
      </c>
      <c r="O486" s="25" t="s">
        <v>1290</v>
      </c>
      <c r="P486" s="34" t="s">
        <v>1413</v>
      </c>
    </row>
    <row r="487" spans="2:16" ht="27.75" customHeight="1">
      <c r="B487" s="25">
        <f t="shared" si="7"/>
        <v>456</v>
      </c>
      <c r="C487" s="42" t="s">
        <v>506</v>
      </c>
      <c r="D487" s="17" t="s">
        <v>506</v>
      </c>
      <c r="E487" s="26" t="e">
        <f>VLOOKUP(C487,#REF!,3,0)</f>
        <v>#REF!</v>
      </c>
      <c r="F487" s="205" t="s">
        <v>2296</v>
      </c>
      <c r="G487" s="25" t="s">
        <v>2297</v>
      </c>
      <c r="H487" s="25"/>
      <c r="I487" s="35">
        <v>4</v>
      </c>
      <c r="J487" s="36" t="s">
        <v>1256</v>
      </c>
      <c r="K487" s="37"/>
      <c r="L487" s="38"/>
      <c r="M487" s="39"/>
      <c r="N487" s="44">
        <v>500</v>
      </c>
      <c r="O487" s="25" t="s">
        <v>1290</v>
      </c>
      <c r="P487" s="34" t="s">
        <v>2298</v>
      </c>
    </row>
    <row r="488" spans="2:16" ht="27.75" customHeight="1">
      <c r="B488" s="25">
        <f t="shared" si="7"/>
        <v>457</v>
      </c>
      <c r="C488" s="42" t="s">
        <v>520</v>
      </c>
      <c r="D488" s="17" t="s">
        <v>520</v>
      </c>
      <c r="E488" s="26" t="e">
        <f>VLOOKUP(C488,#REF!,3,0)</f>
        <v>#REF!</v>
      </c>
      <c r="F488" s="205" t="s">
        <v>2299</v>
      </c>
      <c r="G488" s="25" t="s">
        <v>2300</v>
      </c>
      <c r="H488" s="25"/>
      <c r="I488" s="35">
        <v>4</v>
      </c>
      <c r="J488" s="36" t="s">
        <v>1256</v>
      </c>
      <c r="K488" s="37"/>
      <c r="L488" s="38"/>
      <c r="M488" s="39"/>
      <c r="N488" s="44">
        <v>500</v>
      </c>
      <c r="O488" s="25" t="s">
        <v>1290</v>
      </c>
      <c r="P488" s="34" t="s">
        <v>2301</v>
      </c>
    </row>
    <row r="489" spans="2:16" ht="27.75" customHeight="1">
      <c r="B489" s="25">
        <f t="shared" si="7"/>
        <v>458</v>
      </c>
      <c r="C489" s="42" t="s">
        <v>531</v>
      </c>
      <c r="D489" s="17" t="s">
        <v>531</v>
      </c>
      <c r="E489" s="26" t="e">
        <f>VLOOKUP(C489,#REF!,3,0)</f>
        <v>#REF!</v>
      </c>
      <c r="F489" s="205" t="s">
        <v>2302</v>
      </c>
      <c r="G489" s="25" t="s">
        <v>2303</v>
      </c>
      <c r="H489" s="25"/>
      <c r="I489" s="35">
        <v>4</v>
      </c>
      <c r="J489" s="36" t="s">
        <v>1256</v>
      </c>
      <c r="K489" s="37"/>
      <c r="L489" s="38"/>
      <c r="M489" s="39"/>
      <c r="N489" s="44">
        <v>500</v>
      </c>
      <c r="O489" s="25" t="s">
        <v>1290</v>
      </c>
      <c r="P489" s="34" t="s">
        <v>1409</v>
      </c>
    </row>
    <row r="490" spans="2:16" ht="27.75" customHeight="1">
      <c r="B490" s="25">
        <f t="shared" si="7"/>
        <v>459</v>
      </c>
      <c r="C490" s="42" t="s">
        <v>535</v>
      </c>
      <c r="D490" s="17" t="s">
        <v>535</v>
      </c>
      <c r="E490" s="26" t="s">
        <v>1166</v>
      </c>
      <c r="F490" s="205" t="s">
        <v>2304</v>
      </c>
      <c r="G490" s="25" t="s">
        <v>2305</v>
      </c>
      <c r="H490" s="25"/>
      <c r="I490" s="35">
        <v>4</v>
      </c>
      <c r="J490" s="36" t="s">
        <v>1256</v>
      </c>
      <c r="K490" s="37"/>
      <c r="L490" s="38"/>
      <c r="M490" s="39"/>
      <c r="N490" s="44">
        <v>500</v>
      </c>
      <c r="O490" s="25" t="s">
        <v>1290</v>
      </c>
      <c r="P490" s="34" t="s">
        <v>2301</v>
      </c>
    </row>
    <row r="491" spans="2:16" ht="27.75" customHeight="1">
      <c r="B491" s="25">
        <f t="shared" si="7"/>
        <v>460</v>
      </c>
      <c r="C491" s="42" t="s">
        <v>528</v>
      </c>
      <c r="D491" s="17" t="s">
        <v>528</v>
      </c>
      <c r="E491" s="26" t="e">
        <f>VLOOKUP(C491,#REF!,3,0)</f>
        <v>#REF!</v>
      </c>
      <c r="F491" s="205" t="s">
        <v>2306</v>
      </c>
      <c r="G491" s="25" t="s">
        <v>2307</v>
      </c>
      <c r="H491" s="25"/>
      <c r="I491" s="35">
        <v>4</v>
      </c>
      <c r="J491" s="36" t="s">
        <v>1256</v>
      </c>
      <c r="K491" s="37"/>
      <c r="L491" s="38"/>
      <c r="M491" s="39"/>
      <c r="N491" s="44">
        <v>500</v>
      </c>
      <c r="O491" s="25" t="s">
        <v>1290</v>
      </c>
      <c r="P491" s="34" t="s">
        <v>1374</v>
      </c>
    </row>
    <row r="492" spans="2:16" ht="27.75" customHeight="1">
      <c r="B492" s="25">
        <f t="shared" si="7"/>
        <v>461</v>
      </c>
      <c r="C492" s="42" t="s">
        <v>510</v>
      </c>
      <c r="D492" s="17" t="s">
        <v>510</v>
      </c>
      <c r="E492" s="26" t="s">
        <v>1157</v>
      </c>
      <c r="F492" s="205" t="s">
        <v>2308</v>
      </c>
      <c r="G492" s="25" t="s">
        <v>2309</v>
      </c>
      <c r="H492" s="25"/>
      <c r="I492" s="35">
        <v>4</v>
      </c>
      <c r="J492" s="36" t="s">
        <v>1256</v>
      </c>
      <c r="K492" s="37"/>
      <c r="L492" s="38"/>
      <c r="M492" s="39"/>
      <c r="N492" s="44">
        <v>500</v>
      </c>
      <c r="O492" s="63" t="s">
        <v>1290</v>
      </c>
      <c r="P492" s="34" t="s">
        <v>2310</v>
      </c>
    </row>
    <row r="493" spans="2:16" ht="27.75" customHeight="1">
      <c r="B493" s="25">
        <f t="shared" si="7"/>
        <v>462</v>
      </c>
      <c r="C493" s="42" t="s">
        <v>519</v>
      </c>
      <c r="D493" s="17" t="s">
        <v>519</v>
      </c>
      <c r="E493" s="26" t="s">
        <v>1162</v>
      </c>
      <c r="F493" s="205" t="s">
        <v>2311</v>
      </c>
      <c r="G493" s="25" t="s">
        <v>2312</v>
      </c>
      <c r="H493" s="25"/>
      <c r="I493" s="35">
        <v>4</v>
      </c>
      <c r="J493" s="36" t="s">
        <v>1256</v>
      </c>
      <c r="K493" s="37"/>
      <c r="L493" s="38"/>
      <c r="M493" s="39"/>
      <c r="N493" s="44">
        <v>500</v>
      </c>
      <c r="O493" s="25" t="s">
        <v>1290</v>
      </c>
      <c r="P493" s="34" t="s">
        <v>2310</v>
      </c>
    </row>
    <row r="494" spans="2:16" ht="27.75" customHeight="1">
      <c r="B494" s="25">
        <f t="shared" si="7"/>
        <v>463</v>
      </c>
      <c r="C494" s="42" t="s">
        <v>500</v>
      </c>
      <c r="D494" s="17" t="s">
        <v>500</v>
      </c>
      <c r="E494" s="26" t="e">
        <f>VLOOKUP(C494,#REF!,3,0)</f>
        <v>#REF!</v>
      </c>
      <c r="F494" s="205" t="s">
        <v>2313</v>
      </c>
      <c r="G494" s="64" t="s">
        <v>2314</v>
      </c>
      <c r="H494" s="64"/>
      <c r="I494" s="35">
        <v>4</v>
      </c>
      <c r="J494" s="36" t="s">
        <v>1256</v>
      </c>
      <c r="K494" s="37"/>
      <c r="L494" s="38"/>
      <c r="M494" s="39"/>
      <c r="N494" s="44">
        <v>500</v>
      </c>
      <c r="O494" s="64" t="s">
        <v>1290</v>
      </c>
      <c r="P494" s="34" t="s">
        <v>2315</v>
      </c>
    </row>
    <row r="495" spans="2:16" ht="27.75" customHeight="1">
      <c r="B495" s="25">
        <f t="shared" si="7"/>
        <v>464</v>
      </c>
      <c r="C495" s="42" t="s">
        <v>511</v>
      </c>
      <c r="D495" s="17" t="s">
        <v>511</v>
      </c>
      <c r="E495" s="26" t="e">
        <f>VLOOKUP(C495,#REF!,3,0)</f>
        <v>#REF!</v>
      </c>
      <c r="F495" s="205" t="s">
        <v>2316</v>
      </c>
      <c r="G495" s="64" t="s">
        <v>2317</v>
      </c>
      <c r="H495" s="64"/>
      <c r="I495" s="35">
        <v>4</v>
      </c>
      <c r="J495" s="36" t="s">
        <v>1256</v>
      </c>
      <c r="K495" s="37"/>
      <c r="L495" s="38"/>
      <c r="M495" s="39"/>
      <c r="N495" s="44">
        <v>500</v>
      </c>
      <c r="O495" s="64" t="s">
        <v>1290</v>
      </c>
      <c r="P495" s="34" t="s">
        <v>2318</v>
      </c>
    </row>
    <row r="496" spans="2:16" ht="27.75" customHeight="1">
      <c r="B496" s="25">
        <f t="shared" si="7"/>
        <v>465</v>
      </c>
      <c r="C496" s="42" t="s">
        <v>509</v>
      </c>
      <c r="D496" s="17" t="s">
        <v>509</v>
      </c>
      <c r="E496" s="26" t="s">
        <v>1156</v>
      </c>
      <c r="F496" s="205" t="s">
        <v>2319</v>
      </c>
      <c r="G496" s="64" t="s">
        <v>2320</v>
      </c>
      <c r="H496" s="64"/>
      <c r="I496" s="35">
        <v>4</v>
      </c>
      <c r="J496" s="36" t="s">
        <v>1256</v>
      </c>
      <c r="K496" s="37"/>
      <c r="L496" s="38"/>
      <c r="M496" s="39"/>
      <c r="N496" s="44">
        <v>500</v>
      </c>
      <c r="O496" s="64" t="s">
        <v>1290</v>
      </c>
      <c r="P496" s="34" t="s">
        <v>2133</v>
      </c>
    </row>
    <row r="497" spans="2:16" ht="27.75" customHeight="1">
      <c r="B497" s="25">
        <f t="shared" si="7"/>
        <v>466</v>
      </c>
      <c r="C497" s="42" t="s">
        <v>538</v>
      </c>
      <c r="D497" s="17" t="s">
        <v>538</v>
      </c>
      <c r="E497" s="26" t="e">
        <f>VLOOKUP(C497,#REF!,3,0)</f>
        <v>#REF!</v>
      </c>
      <c r="F497" s="205" t="s">
        <v>2321</v>
      </c>
      <c r="G497" s="64" t="s">
        <v>2322</v>
      </c>
      <c r="H497" s="64"/>
      <c r="I497" s="35">
        <v>4</v>
      </c>
      <c r="J497" s="36" t="s">
        <v>1256</v>
      </c>
      <c r="K497" s="37"/>
      <c r="L497" s="38"/>
      <c r="M497" s="39"/>
      <c r="N497" s="44">
        <v>500</v>
      </c>
      <c r="O497" s="65" t="s">
        <v>1290</v>
      </c>
      <c r="P497" s="34" t="s">
        <v>2162</v>
      </c>
    </row>
    <row r="498" spans="2:16" ht="27.75" customHeight="1">
      <c r="B498" s="25">
        <f t="shared" si="7"/>
        <v>467</v>
      </c>
      <c r="C498" s="42" t="s">
        <v>522</v>
      </c>
      <c r="D498" s="17" t="s">
        <v>522</v>
      </c>
      <c r="E498" s="26" t="e">
        <f>VLOOKUP(C498,#REF!,3,0)</f>
        <v>#REF!</v>
      </c>
      <c r="F498" s="205" t="s">
        <v>2311</v>
      </c>
      <c r="G498" s="64" t="s">
        <v>2323</v>
      </c>
      <c r="H498" s="64"/>
      <c r="I498" s="35">
        <v>4</v>
      </c>
      <c r="J498" s="36" t="s">
        <v>1256</v>
      </c>
      <c r="K498" s="37"/>
      <c r="L498" s="38"/>
      <c r="M498" s="39"/>
      <c r="N498" s="44">
        <v>500</v>
      </c>
      <c r="O498" s="64" t="s">
        <v>1290</v>
      </c>
      <c r="P498" s="34" t="s">
        <v>2324</v>
      </c>
    </row>
    <row r="499" spans="2:16" ht="27.75" customHeight="1">
      <c r="B499" s="25">
        <f t="shared" si="7"/>
        <v>468</v>
      </c>
      <c r="C499" s="42" t="s">
        <v>523</v>
      </c>
      <c r="D499" s="17" t="s">
        <v>522</v>
      </c>
      <c r="E499" s="26" t="e">
        <f>VLOOKUP(C499,#REF!,3,0)</f>
        <v>#REF!</v>
      </c>
      <c r="F499" s="205" t="s">
        <v>2311</v>
      </c>
      <c r="G499" s="64" t="s">
        <v>2323</v>
      </c>
      <c r="H499" s="64"/>
      <c r="I499" s="35">
        <v>4</v>
      </c>
      <c r="J499" s="36" t="s">
        <v>1256</v>
      </c>
      <c r="K499" s="37"/>
      <c r="L499" s="38"/>
      <c r="M499" s="39"/>
      <c r="N499" s="44"/>
      <c r="O499" s="64"/>
      <c r="P499" s="34"/>
    </row>
    <row r="500" spans="2:16" ht="27.75" customHeight="1">
      <c r="B500" s="25">
        <f t="shared" si="7"/>
        <v>469</v>
      </c>
      <c r="C500" s="42" t="s">
        <v>724</v>
      </c>
      <c r="D500" s="17" t="s">
        <v>724</v>
      </c>
      <c r="E500" s="26" t="e">
        <f>VLOOKUP(C500,#REF!,3,0)</f>
        <v>#REF!</v>
      </c>
      <c r="F500" s="205" t="s">
        <v>2325</v>
      </c>
      <c r="G500" s="25" t="s">
        <v>2326</v>
      </c>
      <c r="H500" s="25"/>
      <c r="I500" s="35">
        <v>2</v>
      </c>
      <c r="J500" s="36" t="s">
        <v>1256</v>
      </c>
      <c r="K500" s="37"/>
      <c r="L500" s="38"/>
      <c r="M500" s="39"/>
      <c r="N500" s="44">
        <v>500</v>
      </c>
      <c r="O500" s="25" t="s">
        <v>1290</v>
      </c>
      <c r="P500" s="34" t="s">
        <v>1855</v>
      </c>
    </row>
    <row r="501" spans="2:16" ht="27.75" customHeight="1">
      <c r="B501" s="25">
        <f t="shared" si="7"/>
        <v>470</v>
      </c>
      <c r="C501" s="42" t="s">
        <v>725</v>
      </c>
      <c r="D501" s="17" t="s">
        <v>725</v>
      </c>
      <c r="E501" s="26" t="e">
        <f>VLOOKUP(C501,#REF!,3,0)</f>
        <v>#REF!</v>
      </c>
      <c r="F501" s="205" t="s">
        <v>2327</v>
      </c>
      <c r="G501" s="25" t="s">
        <v>2328</v>
      </c>
      <c r="H501" s="25"/>
      <c r="I501" s="35">
        <v>2</v>
      </c>
      <c r="J501" s="36" t="s">
        <v>1256</v>
      </c>
      <c r="K501" s="37"/>
      <c r="L501" s="38"/>
      <c r="M501" s="39"/>
      <c r="N501" s="44">
        <v>500</v>
      </c>
      <c r="O501" s="25" t="s">
        <v>1290</v>
      </c>
      <c r="P501" s="34" t="s">
        <v>1374</v>
      </c>
    </row>
    <row r="502" spans="2:16" ht="27.75" customHeight="1">
      <c r="B502" s="25">
        <f t="shared" si="7"/>
        <v>471</v>
      </c>
      <c r="C502" s="42" t="s">
        <v>721</v>
      </c>
      <c r="D502" s="17" t="s">
        <v>721</v>
      </c>
      <c r="E502" s="26" t="e">
        <f>VLOOKUP(C502,#REF!,3,0)</f>
        <v>#REF!</v>
      </c>
      <c r="F502" s="205" t="s">
        <v>2329</v>
      </c>
      <c r="G502" s="25" t="s">
        <v>2330</v>
      </c>
      <c r="H502" s="25"/>
      <c r="I502" s="35">
        <v>2</v>
      </c>
      <c r="J502" s="36" t="s">
        <v>1256</v>
      </c>
      <c r="K502" s="37"/>
      <c r="L502" s="38"/>
      <c r="M502" s="39"/>
      <c r="N502" s="44">
        <v>500</v>
      </c>
      <c r="O502" s="25" t="s">
        <v>1290</v>
      </c>
      <c r="P502" s="34" t="s">
        <v>2331</v>
      </c>
    </row>
    <row r="503" spans="2:16" ht="27.75" customHeight="1">
      <c r="B503" s="25">
        <f t="shared" si="7"/>
        <v>472</v>
      </c>
      <c r="C503" s="42" t="s">
        <v>490</v>
      </c>
      <c r="D503" s="17" t="s">
        <v>490</v>
      </c>
      <c r="E503" s="26" t="e">
        <f>VLOOKUP(C503,#REF!,3,0)</f>
        <v>#REF!</v>
      </c>
      <c r="F503" s="205" t="s">
        <v>2332</v>
      </c>
      <c r="G503" s="25" t="s">
        <v>2333</v>
      </c>
      <c r="H503" s="25" t="s">
        <v>1275</v>
      </c>
      <c r="I503" s="35">
        <v>4</v>
      </c>
      <c r="J503" s="36"/>
      <c r="K503" s="37"/>
      <c r="L503" s="38"/>
      <c r="M503" s="39" t="s">
        <v>1250</v>
      </c>
      <c r="N503" s="44">
        <v>500</v>
      </c>
      <c r="O503" s="25" t="s">
        <v>1290</v>
      </c>
      <c r="P503" s="34" t="s">
        <v>1258</v>
      </c>
    </row>
    <row r="504" spans="2:16" ht="27.75" customHeight="1">
      <c r="B504" s="25">
        <f t="shared" si="7"/>
        <v>473</v>
      </c>
      <c r="C504" s="42" t="s">
        <v>990</v>
      </c>
      <c r="D504" s="17" t="s">
        <v>990</v>
      </c>
      <c r="E504" s="26" t="e">
        <f>VLOOKUP(C504,#REF!,3,0)</f>
        <v>#REF!</v>
      </c>
      <c r="F504" s="205" t="s">
        <v>2334</v>
      </c>
      <c r="G504" s="66" t="s">
        <v>2335</v>
      </c>
      <c r="H504" s="25"/>
      <c r="I504" s="35">
        <v>4</v>
      </c>
      <c r="J504" s="36"/>
      <c r="K504" s="37"/>
      <c r="L504" s="38"/>
      <c r="M504" s="39" t="s">
        <v>1250</v>
      </c>
      <c r="N504" s="44">
        <v>500</v>
      </c>
      <c r="O504" s="25" t="s">
        <v>1290</v>
      </c>
      <c r="P504" s="34" t="s">
        <v>2196</v>
      </c>
    </row>
    <row r="505" spans="2:16" ht="27.75" customHeight="1">
      <c r="B505" s="25">
        <f t="shared" si="7"/>
        <v>474</v>
      </c>
      <c r="C505" s="42" t="s">
        <v>991</v>
      </c>
      <c r="D505" s="17" t="s">
        <v>991</v>
      </c>
      <c r="E505" s="26" t="e">
        <f>VLOOKUP(C505,#REF!,3,0)</f>
        <v>#REF!</v>
      </c>
      <c r="F505" s="205" t="s">
        <v>2336</v>
      </c>
      <c r="G505" s="67" t="s">
        <v>2337</v>
      </c>
      <c r="H505" s="67"/>
      <c r="I505" s="35">
        <v>4</v>
      </c>
      <c r="J505" s="36"/>
      <c r="K505" s="37"/>
      <c r="L505" s="38"/>
      <c r="M505" s="39" t="s">
        <v>1250</v>
      </c>
      <c r="N505" s="44">
        <v>500</v>
      </c>
      <c r="O505" s="67" t="s">
        <v>1290</v>
      </c>
      <c r="P505" s="34" t="s">
        <v>2338</v>
      </c>
    </row>
    <row r="506" spans="2:16" ht="27.75" customHeight="1">
      <c r="B506" s="25">
        <f t="shared" si="7"/>
        <v>475</v>
      </c>
      <c r="C506" s="42" t="s">
        <v>549</v>
      </c>
      <c r="D506" s="17" t="s">
        <v>549</v>
      </c>
      <c r="E506" s="26" t="e">
        <f>VLOOKUP(C506,#REF!,3,0)</f>
        <v>#REF!</v>
      </c>
      <c r="F506" s="205" t="s">
        <v>2339</v>
      </c>
      <c r="G506" s="67" t="s">
        <v>2340</v>
      </c>
      <c r="H506" s="67"/>
      <c r="I506" s="35">
        <v>2</v>
      </c>
      <c r="J506" s="36"/>
      <c r="K506" s="37"/>
      <c r="L506" s="38"/>
      <c r="M506" s="39" t="s">
        <v>1250</v>
      </c>
      <c r="N506" s="44">
        <v>500</v>
      </c>
      <c r="O506" s="67" t="s">
        <v>1542</v>
      </c>
      <c r="P506" s="34" t="s">
        <v>2341</v>
      </c>
    </row>
    <row r="507" spans="2:16" ht="27.75" customHeight="1">
      <c r="B507" s="25">
        <f t="shared" si="7"/>
        <v>476</v>
      </c>
      <c r="C507" s="42" t="s">
        <v>499</v>
      </c>
      <c r="D507" s="17" t="s">
        <v>499</v>
      </c>
      <c r="E507" s="26" t="e">
        <f>VLOOKUP(C507,#REF!,3,0)</f>
        <v>#REF!</v>
      </c>
      <c r="F507" s="205" t="s">
        <v>2342</v>
      </c>
      <c r="G507" s="25" t="s">
        <v>2343</v>
      </c>
      <c r="H507" s="25"/>
      <c r="I507" s="35">
        <v>2</v>
      </c>
      <c r="J507" s="36" t="s">
        <v>1256</v>
      </c>
      <c r="K507" s="37"/>
      <c r="L507" s="38"/>
      <c r="M507" s="39"/>
      <c r="N507" s="44">
        <v>500</v>
      </c>
      <c r="O507" s="25" t="s">
        <v>1290</v>
      </c>
      <c r="P507" s="34" t="s">
        <v>2344</v>
      </c>
    </row>
    <row r="508" spans="2:16" ht="27.75" customHeight="1">
      <c r="B508" s="25">
        <f t="shared" si="7"/>
        <v>477</v>
      </c>
      <c r="C508" s="42" t="s">
        <v>313</v>
      </c>
      <c r="D508" s="17" t="s">
        <v>313</v>
      </c>
      <c r="E508" s="26" t="e">
        <f>VLOOKUP(C508,#REF!,3,0)</f>
        <v>#REF!</v>
      </c>
      <c r="F508" s="205" t="s">
        <v>2345</v>
      </c>
      <c r="G508" s="25" t="s">
        <v>2346</v>
      </c>
      <c r="H508" s="25"/>
      <c r="I508" s="35">
        <v>2</v>
      </c>
      <c r="J508" s="36" t="s">
        <v>1256</v>
      </c>
      <c r="K508" s="37"/>
      <c r="L508" s="38"/>
      <c r="M508" s="39"/>
      <c r="N508" s="44">
        <v>500</v>
      </c>
      <c r="O508" s="25" t="s">
        <v>1542</v>
      </c>
      <c r="P508" s="34" t="s">
        <v>2347</v>
      </c>
    </row>
    <row r="509" spans="2:16" ht="27.75" customHeight="1">
      <c r="B509" s="25">
        <f t="shared" si="7"/>
        <v>478</v>
      </c>
      <c r="C509" s="42" t="s">
        <v>137</v>
      </c>
      <c r="D509" s="17" t="s">
        <v>137</v>
      </c>
      <c r="E509" s="26" t="e">
        <f>VLOOKUP(C509,#REF!,3,0)</f>
        <v>#REF!</v>
      </c>
      <c r="F509" s="205" t="s">
        <v>2348</v>
      </c>
      <c r="G509" s="67" t="s">
        <v>2349</v>
      </c>
      <c r="H509" s="67"/>
      <c r="I509" s="35">
        <v>8</v>
      </c>
      <c r="J509" s="36" t="s">
        <v>1256</v>
      </c>
      <c r="K509" s="37"/>
      <c r="L509" s="38"/>
      <c r="M509" s="39"/>
      <c r="N509" s="44">
        <v>500</v>
      </c>
      <c r="O509" s="67" t="s">
        <v>1290</v>
      </c>
      <c r="P509" s="34" t="s">
        <v>2350</v>
      </c>
    </row>
    <row r="510" spans="2:16" ht="27.75" customHeight="1">
      <c r="B510" s="25">
        <f t="shared" si="7"/>
        <v>479</v>
      </c>
      <c r="C510" s="42" t="s">
        <v>521</v>
      </c>
      <c r="D510" s="17" t="s">
        <v>521</v>
      </c>
      <c r="E510" s="26" t="e">
        <f>VLOOKUP(C510,#REF!,3,0)</f>
        <v>#REF!</v>
      </c>
      <c r="F510" s="205" t="s">
        <v>2351</v>
      </c>
      <c r="G510" s="68" t="s">
        <v>2352</v>
      </c>
      <c r="H510" s="68"/>
      <c r="I510" s="35">
        <v>4</v>
      </c>
      <c r="J510" s="36" t="s">
        <v>1256</v>
      </c>
      <c r="K510" s="37"/>
      <c r="L510" s="38"/>
      <c r="M510" s="39"/>
      <c r="N510" s="44">
        <v>500</v>
      </c>
      <c r="O510" s="67" t="s">
        <v>1290</v>
      </c>
      <c r="P510" s="34" t="s">
        <v>2353</v>
      </c>
    </row>
    <row r="511" spans="2:16" ht="27.75" customHeight="1">
      <c r="B511" s="25">
        <f t="shared" si="7"/>
        <v>480</v>
      </c>
      <c r="C511" s="42" t="s">
        <v>1039</v>
      </c>
      <c r="D511" s="17" t="s">
        <v>1039</v>
      </c>
      <c r="E511" s="26" t="e">
        <f>VLOOKUP(C511,#REF!,3,0)</f>
        <v>#REF!</v>
      </c>
      <c r="F511" s="205" t="s">
        <v>2354</v>
      </c>
      <c r="G511" s="68" t="s">
        <v>2355</v>
      </c>
      <c r="H511" s="68"/>
      <c r="I511" s="35">
        <v>4</v>
      </c>
      <c r="J511" s="36" t="s">
        <v>1256</v>
      </c>
      <c r="K511" s="37"/>
      <c r="L511" s="38"/>
      <c r="M511" s="39"/>
      <c r="N511" s="44">
        <v>500</v>
      </c>
      <c r="O511" s="67" t="s">
        <v>1290</v>
      </c>
      <c r="P511" s="34" t="s">
        <v>2356</v>
      </c>
    </row>
    <row r="512" spans="2:16" ht="27.75" customHeight="1">
      <c r="B512" s="25">
        <f t="shared" si="7"/>
        <v>481</v>
      </c>
      <c r="C512" s="42" t="s">
        <v>136</v>
      </c>
      <c r="D512" s="17" t="s">
        <v>136</v>
      </c>
      <c r="E512" s="26" t="e">
        <f>VLOOKUP(C512,#REF!,3,0)</f>
        <v>#REF!</v>
      </c>
      <c r="F512" s="205" t="s">
        <v>2357</v>
      </c>
      <c r="G512" s="68" t="s">
        <v>2358</v>
      </c>
      <c r="H512" s="68"/>
      <c r="I512" s="35">
        <v>8</v>
      </c>
      <c r="J512" s="36" t="s">
        <v>1256</v>
      </c>
      <c r="K512" s="37"/>
      <c r="L512" s="38"/>
      <c r="M512" s="39"/>
      <c r="N512" s="44">
        <v>500</v>
      </c>
      <c r="O512" s="67" t="s">
        <v>1290</v>
      </c>
      <c r="P512" s="34" t="s">
        <v>1368</v>
      </c>
    </row>
    <row r="513" spans="2:16" ht="27.75" customHeight="1">
      <c r="B513" s="25">
        <f t="shared" si="7"/>
        <v>482</v>
      </c>
      <c r="C513" s="42" t="s">
        <v>536</v>
      </c>
      <c r="D513" s="17" t="s">
        <v>536</v>
      </c>
      <c r="E513" s="26" t="e">
        <f>VLOOKUP(C513,#REF!,3,0)</f>
        <v>#REF!</v>
      </c>
      <c r="F513" s="205" t="s">
        <v>2359</v>
      </c>
      <c r="G513" s="68" t="s">
        <v>2360</v>
      </c>
      <c r="H513" s="68"/>
      <c r="I513" s="35">
        <v>4</v>
      </c>
      <c r="J513" s="36"/>
      <c r="K513" s="37"/>
      <c r="L513" s="38"/>
      <c r="M513" s="39" t="s">
        <v>1250</v>
      </c>
      <c r="N513" s="44">
        <v>500</v>
      </c>
      <c r="O513" s="67" t="s">
        <v>1290</v>
      </c>
      <c r="P513" s="34" t="s">
        <v>2361</v>
      </c>
    </row>
    <row r="514" spans="2:16" ht="27.75" customHeight="1">
      <c r="B514" s="25">
        <f t="shared" si="7"/>
        <v>483</v>
      </c>
      <c r="C514" s="42" t="s">
        <v>1040</v>
      </c>
      <c r="D514" s="17" t="s">
        <v>1040</v>
      </c>
      <c r="E514" s="26" t="e">
        <f>VLOOKUP(C514,#REF!,3,0)</f>
        <v>#REF!</v>
      </c>
      <c r="F514" s="208" t="s">
        <v>2362</v>
      </c>
      <c r="G514" s="67" t="s">
        <v>2363</v>
      </c>
      <c r="H514" s="67"/>
      <c r="I514" s="35">
        <v>4</v>
      </c>
      <c r="J514" s="36" t="s">
        <v>1256</v>
      </c>
      <c r="K514" s="37"/>
      <c r="L514" s="38"/>
      <c r="M514" s="39"/>
      <c r="N514" s="44">
        <v>500</v>
      </c>
      <c r="O514" s="25" t="s">
        <v>1290</v>
      </c>
      <c r="P514" s="34" t="s">
        <v>1410</v>
      </c>
    </row>
    <row r="515" spans="2:16" ht="27.75" customHeight="1">
      <c r="B515" s="25">
        <f t="shared" si="7"/>
        <v>484</v>
      </c>
      <c r="C515" s="42" t="s">
        <v>198</v>
      </c>
      <c r="D515" s="17" t="s">
        <v>198</v>
      </c>
      <c r="E515" s="26" t="e">
        <f>VLOOKUP(C515,#REF!,3,0)</f>
        <v>#REF!</v>
      </c>
      <c r="F515" s="205" t="s">
        <v>2364</v>
      </c>
      <c r="G515" s="25" t="s">
        <v>1793</v>
      </c>
      <c r="H515" s="25"/>
      <c r="I515" s="35">
        <v>4</v>
      </c>
      <c r="J515" s="36" t="s">
        <v>1256</v>
      </c>
      <c r="K515" s="37"/>
      <c r="L515" s="38"/>
      <c r="M515" s="39"/>
      <c r="N515" s="44">
        <v>800</v>
      </c>
      <c r="O515" s="25" t="s">
        <v>1431</v>
      </c>
      <c r="P515" s="34" t="s">
        <v>2365</v>
      </c>
    </row>
    <row r="516" spans="2:16" ht="27.75" customHeight="1">
      <c r="B516" s="25">
        <f t="shared" si="7"/>
        <v>485</v>
      </c>
      <c r="C516" s="42" t="s">
        <v>974</v>
      </c>
      <c r="D516" s="17" t="s">
        <v>974</v>
      </c>
      <c r="E516" s="26" t="e">
        <f>VLOOKUP(C516,#REF!,3,0)</f>
        <v>#REF!</v>
      </c>
      <c r="F516" s="205" t="s">
        <v>2366</v>
      </c>
      <c r="G516" s="25" t="s">
        <v>2367</v>
      </c>
      <c r="H516" s="25"/>
      <c r="I516" s="35">
        <v>4</v>
      </c>
      <c r="J516" s="36" t="s">
        <v>1256</v>
      </c>
      <c r="K516" s="37"/>
      <c r="L516" s="38"/>
      <c r="M516" s="39"/>
      <c r="N516" s="44">
        <v>800</v>
      </c>
      <c r="O516" s="25" t="s">
        <v>1431</v>
      </c>
      <c r="P516" s="34" t="s">
        <v>1258</v>
      </c>
    </row>
    <row r="517" spans="2:16" ht="27.75" customHeight="1">
      <c r="B517" s="25">
        <f t="shared" si="7"/>
        <v>486</v>
      </c>
      <c r="C517" s="42" t="s">
        <v>975</v>
      </c>
      <c r="D517" s="17" t="s">
        <v>974</v>
      </c>
      <c r="E517" s="26" t="e">
        <f>VLOOKUP(C517,#REF!,3,0)</f>
        <v>#REF!</v>
      </c>
      <c r="F517" s="205" t="s">
        <v>2366</v>
      </c>
      <c r="G517" s="25" t="s">
        <v>2367</v>
      </c>
      <c r="H517" s="25"/>
      <c r="I517" s="35">
        <v>4</v>
      </c>
      <c r="J517" s="36" t="s">
        <v>1256</v>
      </c>
      <c r="K517" s="37"/>
      <c r="L517" s="38"/>
      <c r="M517" s="39"/>
      <c r="N517" s="44"/>
      <c r="O517" s="25"/>
      <c r="P517" s="34"/>
    </row>
    <row r="518" spans="2:16" ht="27.75" customHeight="1">
      <c r="B518" s="25">
        <f t="shared" si="7"/>
        <v>487</v>
      </c>
      <c r="C518" s="42" t="s">
        <v>976</v>
      </c>
      <c r="D518" s="17" t="s">
        <v>974</v>
      </c>
      <c r="E518" s="26" t="e">
        <f>VLOOKUP(C518,#REF!,3,0)</f>
        <v>#REF!</v>
      </c>
      <c r="F518" s="205" t="s">
        <v>2366</v>
      </c>
      <c r="G518" s="25" t="s">
        <v>2367</v>
      </c>
      <c r="H518" s="25"/>
      <c r="I518" s="35">
        <v>4</v>
      </c>
      <c r="J518" s="36" t="s">
        <v>1256</v>
      </c>
      <c r="K518" s="37"/>
      <c r="L518" s="38"/>
      <c r="M518" s="39"/>
      <c r="N518" s="44"/>
      <c r="O518" s="25"/>
      <c r="P518" s="34"/>
    </row>
    <row r="519" spans="2:16" ht="27.75" customHeight="1">
      <c r="B519" s="25">
        <f t="shared" ref="B519:B582" si="8">B518+1</f>
        <v>488</v>
      </c>
      <c r="C519" s="42" t="s">
        <v>977</v>
      </c>
      <c r="D519" s="17" t="s">
        <v>974</v>
      </c>
      <c r="E519" s="26" t="e">
        <f>VLOOKUP(C519,#REF!,3,0)</f>
        <v>#REF!</v>
      </c>
      <c r="F519" s="205" t="s">
        <v>2366</v>
      </c>
      <c r="G519" s="25" t="s">
        <v>2367</v>
      </c>
      <c r="H519" s="25"/>
      <c r="I519" s="35">
        <v>4</v>
      </c>
      <c r="J519" s="36" t="s">
        <v>1256</v>
      </c>
      <c r="K519" s="37"/>
      <c r="L519" s="38"/>
      <c r="M519" s="39"/>
      <c r="N519" s="44"/>
      <c r="O519" s="25"/>
      <c r="P519" s="34"/>
    </row>
    <row r="520" spans="2:16" ht="27.75" customHeight="1">
      <c r="B520" s="25">
        <f t="shared" si="8"/>
        <v>489</v>
      </c>
      <c r="C520" s="42" t="s">
        <v>978</v>
      </c>
      <c r="D520" s="17" t="s">
        <v>978</v>
      </c>
      <c r="E520" s="26" t="e">
        <f>VLOOKUP(C520,#REF!,3,0)</f>
        <v>#REF!</v>
      </c>
      <c r="F520" s="205" t="s">
        <v>2368</v>
      </c>
      <c r="G520" s="25" t="s">
        <v>2367</v>
      </c>
      <c r="H520" s="25"/>
      <c r="I520" s="35">
        <v>4</v>
      </c>
      <c r="J520" s="36"/>
      <c r="K520" s="37"/>
      <c r="L520" s="38"/>
      <c r="M520" s="39" t="s">
        <v>1250</v>
      </c>
      <c r="N520" s="44">
        <v>800</v>
      </c>
      <c r="O520" s="25" t="s">
        <v>1431</v>
      </c>
      <c r="P520" s="34" t="s">
        <v>2369</v>
      </c>
    </row>
    <row r="521" spans="2:16" ht="27.75" customHeight="1">
      <c r="B521" s="25">
        <f t="shared" si="8"/>
        <v>490</v>
      </c>
      <c r="C521" s="42" t="s">
        <v>979</v>
      </c>
      <c r="D521" s="17" t="s">
        <v>978</v>
      </c>
      <c r="E521" s="26" t="e">
        <f>VLOOKUP(C521,#REF!,3,0)</f>
        <v>#REF!</v>
      </c>
      <c r="F521" s="205" t="s">
        <v>2368</v>
      </c>
      <c r="G521" s="25" t="s">
        <v>2367</v>
      </c>
      <c r="H521" s="25"/>
      <c r="I521" s="35">
        <v>4</v>
      </c>
      <c r="J521" s="36"/>
      <c r="K521" s="37"/>
      <c r="L521" s="38"/>
      <c r="M521" s="39"/>
      <c r="N521" s="44"/>
      <c r="O521" s="25"/>
      <c r="P521" s="34"/>
    </row>
    <row r="522" spans="2:16" ht="27.75" customHeight="1">
      <c r="B522" s="25">
        <f t="shared" si="8"/>
        <v>491</v>
      </c>
      <c r="C522" s="42" t="s">
        <v>980</v>
      </c>
      <c r="D522" s="17" t="s">
        <v>980</v>
      </c>
      <c r="E522" s="26" t="e">
        <f>VLOOKUP(C522,#REF!,3,0)</f>
        <v>#REF!</v>
      </c>
      <c r="F522" s="205" t="s">
        <v>2370</v>
      </c>
      <c r="G522" s="25" t="s">
        <v>2367</v>
      </c>
      <c r="H522" s="25"/>
      <c r="I522" s="35">
        <v>4</v>
      </c>
      <c r="J522" s="36" t="s">
        <v>1256</v>
      </c>
      <c r="K522" s="37"/>
      <c r="L522" s="38"/>
      <c r="M522" s="39"/>
      <c r="N522" s="44">
        <v>800</v>
      </c>
      <c r="O522" s="25" t="s">
        <v>1431</v>
      </c>
      <c r="P522" s="34" t="s">
        <v>2371</v>
      </c>
    </row>
    <row r="523" spans="2:16" ht="27.75" customHeight="1">
      <c r="B523" s="25">
        <f t="shared" si="8"/>
        <v>492</v>
      </c>
      <c r="C523" s="42" t="s">
        <v>981</v>
      </c>
      <c r="D523" s="17" t="s">
        <v>981</v>
      </c>
      <c r="E523" s="26" t="e">
        <f>VLOOKUP(C523,#REF!,3,0)</f>
        <v>#REF!</v>
      </c>
      <c r="F523" s="205" t="s">
        <v>2372</v>
      </c>
      <c r="G523" s="25" t="s">
        <v>2367</v>
      </c>
      <c r="H523" s="25"/>
      <c r="I523" s="35">
        <v>4</v>
      </c>
      <c r="J523" s="36" t="s">
        <v>1256</v>
      </c>
      <c r="K523" s="37"/>
      <c r="L523" s="38"/>
      <c r="M523" s="39"/>
      <c r="N523" s="44">
        <v>800</v>
      </c>
      <c r="O523" s="25" t="s">
        <v>1431</v>
      </c>
      <c r="P523" s="34" t="s">
        <v>2373</v>
      </c>
    </row>
    <row r="524" spans="2:16" ht="27.75" customHeight="1">
      <c r="B524" s="25">
        <f t="shared" si="8"/>
        <v>493</v>
      </c>
      <c r="C524" s="42" t="s">
        <v>982</v>
      </c>
      <c r="D524" s="17" t="s">
        <v>982</v>
      </c>
      <c r="E524" s="26" t="e">
        <f>VLOOKUP(C524,#REF!,3,0)</f>
        <v>#REF!</v>
      </c>
      <c r="F524" s="205" t="s">
        <v>2374</v>
      </c>
      <c r="G524" s="25" t="s">
        <v>2367</v>
      </c>
      <c r="H524" s="25"/>
      <c r="I524" s="35">
        <v>4</v>
      </c>
      <c r="J524" s="36" t="s">
        <v>1256</v>
      </c>
      <c r="K524" s="37"/>
      <c r="L524" s="38"/>
      <c r="M524" s="39"/>
      <c r="N524" s="44">
        <v>800</v>
      </c>
      <c r="O524" s="25" t="s">
        <v>1431</v>
      </c>
      <c r="P524" s="34" t="s">
        <v>2375</v>
      </c>
    </row>
    <row r="525" spans="2:16" ht="27.75" customHeight="1">
      <c r="B525" s="25">
        <f t="shared" si="8"/>
        <v>494</v>
      </c>
      <c r="C525" s="42" t="s">
        <v>983</v>
      </c>
      <c r="D525" s="17" t="s">
        <v>982</v>
      </c>
      <c r="E525" s="26" t="e">
        <f>VLOOKUP(C525,#REF!,3,0)</f>
        <v>#REF!</v>
      </c>
      <c r="F525" s="205" t="s">
        <v>2374</v>
      </c>
      <c r="G525" s="25" t="s">
        <v>2367</v>
      </c>
      <c r="H525" s="25"/>
      <c r="I525" s="35">
        <v>4</v>
      </c>
      <c r="J525" s="36" t="s">
        <v>1256</v>
      </c>
      <c r="K525" s="37"/>
      <c r="L525" s="38"/>
      <c r="M525" s="39"/>
      <c r="N525" s="44"/>
      <c r="O525" s="25"/>
      <c r="P525" s="34"/>
    </row>
    <row r="526" spans="2:16" ht="27.75" customHeight="1">
      <c r="B526" s="25">
        <f t="shared" si="8"/>
        <v>495</v>
      </c>
      <c r="C526" s="42" t="s">
        <v>984</v>
      </c>
      <c r="D526" s="17" t="s">
        <v>984</v>
      </c>
      <c r="E526" s="26" t="e">
        <f>VLOOKUP(C526,#REF!,3,0)</f>
        <v>#REF!</v>
      </c>
      <c r="F526" s="205" t="s">
        <v>2376</v>
      </c>
      <c r="G526" s="25" t="s">
        <v>2367</v>
      </c>
      <c r="H526" s="25"/>
      <c r="I526" s="35">
        <v>4</v>
      </c>
      <c r="J526" s="36" t="s">
        <v>1256</v>
      </c>
      <c r="K526" s="37"/>
      <c r="L526" s="38"/>
      <c r="M526" s="39"/>
      <c r="N526" s="44">
        <v>800</v>
      </c>
      <c r="O526" s="25" t="s">
        <v>1431</v>
      </c>
      <c r="P526" s="34" t="s">
        <v>2377</v>
      </c>
    </row>
    <row r="527" spans="2:16" ht="27.75" customHeight="1">
      <c r="B527" s="25">
        <f t="shared" si="8"/>
        <v>496</v>
      </c>
      <c r="C527" s="42" t="s">
        <v>985</v>
      </c>
      <c r="D527" s="17" t="s">
        <v>984</v>
      </c>
      <c r="E527" s="26" t="e">
        <f>VLOOKUP(C527,#REF!,3,0)</f>
        <v>#REF!</v>
      </c>
      <c r="F527" s="205" t="s">
        <v>2376</v>
      </c>
      <c r="G527" s="25" t="s">
        <v>2367</v>
      </c>
      <c r="H527" s="25"/>
      <c r="I527" s="35">
        <v>4</v>
      </c>
      <c r="J527" s="36" t="s">
        <v>1256</v>
      </c>
      <c r="K527" s="37"/>
      <c r="L527" s="38"/>
      <c r="M527" s="39"/>
      <c r="N527" s="44"/>
      <c r="O527" s="25"/>
      <c r="P527" s="34"/>
    </row>
    <row r="528" spans="2:16" ht="27.75" customHeight="1">
      <c r="B528" s="25">
        <f t="shared" si="8"/>
        <v>497</v>
      </c>
      <c r="C528" s="42" t="s">
        <v>180</v>
      </c>
      <c r="D528" s="17" t="s">
        <v>180</v>
      </c>
      <c r="E528" s="26" t="e">
        <f>VLOOKUP(C528,#REF!,3,0)</f>
        <v>#REF!</v>
      </c>
      <c r="F528" s="205" t="s">
        <v>2378</v>
      </c>
      <c r="G528" s="25" t="s">
        <v>2367</v>
      </c>
      <c r="H528" s="25"/>
      <c r="I528" s="35">
        <v>4</v>
      </c>
      <c r="J528" s="36" t="s">
        <v>1256</v>
      </c>
      <c r="K528" s="37"/>
      <c r="L528" s="38"/>
      <c r="M528" s="39"/>
      <c r="N528" s="44">
        <v>800</v>
      </c>
      <c r="O528" s="25" t="s">
        <v>1431</v>
      </c>
      <c r="P528" s="34" t="s">
        <v>1258</v>
      </c>
    </row>
    <row r="529" spans="2:16" ht="27.75" customHeight="1">
      <c r="B529" s="25">
        <f t="shared" si="8"/>
        <v>498</v>
      </c>
      <c r="C529" s="42" t="s">
        <v>184</v>
      </c>
      <c r="D529" s="17" t="s">
        <v>184</v>
      </c>
      <c r="E529" s="26" t="e">
        <f>VLOOKUP(C529,#REF!,3,0)</f>
        <v>#REF!</v>
      </c>
      <c r="F529" s="205" t="s">
        <v>2379</v>
      </c>
      <c r="G529" s="25" t="s">
        <v>2367</v>
      </c>
      <c r="H529" s="25"/>
      <c r="I529" s="35">
        <v>4</v>
      </c>
      <c r="J529" s="36" t="s">
        <v>1256</v>
      </c>
      <c r="K529" s="37"/>
      <c r="L529" s="38"/>
      <c r="M529" s="39"/>
      <c r="N529" s="44">
        <v>800</v>
      </c>
      <c r="O529" s="25" t="s">
        <v>1431</v>
      </c>
      <c r="P529" s="34" t="s">
        <v>1258</v>
      </c>
    </row>
    <row r="530" spans="2:16" ht="27.75" customHeight="1">
      <c r="B530" s="25">
        <f t="shared" si="8"/>
        <v>499</v>
      </c>
      <c r="C530" s="42" t="s">
        <v>203</v>
      </c>
      <c r="D530" s="17" t="s">
        <v>203</v>
      </c>
      <c r="E530" s="26" t="e">
        <f>VLOOKUP(C530,#REF!,3,0)</f>
        <v>#REF!</v>
      </c>
      <c r="F530" s="205" t="s">
        <v>2380</v>
      </c>
      <c r="G530" s="25" t="s">
        <v>1224</v>
      </c>
      <c r="H530" s="25"/>
      <c r="I530" s="35">
        <v>2</v>
      </c>
      <c r="J530" s="36" t="s">
        <v>1256</v>
      </c>
      <c r="K530" s="37"/>
      <c r="L530" s="38"/>
      <c r="M530" s="39"/>
      <c r="N530" s="44">
        <v>800</v>
      </c>
      <c r="O530" s="25" t="s">
        <v>2381</v>
      </c>
      <c r="P530" s="34" t="s">
        <v>2382</v>
      </c>
    </row>
    <row r="531" spans="2:16" ht="27.75" customHeight="1">
      <c r="B531" s="25">
        <f t="shared" si="8"/>
        <v>500</v>
      </c>
      <c r="C531" s="42" t="s">
        <v>848</v>
      </c>
      <c r="D531" s="17" t="s">
        <v>848</v>
      </c>
      <c r="E531" s="26" t="e">
        <f>VLOOKUP(C531,#REF!,3,0)</f>
        <v>#REF!</v>
      </c>
      <c r="F531" s="205"/>
      <c r="G531" s="25" t="s">
        <v>2383</v>
      </c>
      <c r="H531" s="25"/>
      <c r="I531" s="35"/>
      <c r="J531" s="36"/>
      <c r="K531" s="37"/>
      <c r="L531" s="38"/>
      <c r="M531" s="39" t="s">
        <v>1250</v>
      </c>
      <c r="N531" s="44">
        <v>800</v>
      </c>
      <c r="O531" s="69"/>
      <c r="P531" s="34"/>
    </row>
    <row r="532" spans="2:16" ht="27.75" customHeight="1">
      <c r="B532" s="25">
        <f t="shared" si="8"/>
        <v>501</v>
      </c>
      <c r="C532" s="42" t="s">
        <v>2384</v>
      </c>
      <c r="D532" s="17" t="s">
        <v>2384</v>
      </c>
      <c r="E532" s="26" t="e">
        <f>VLOOKUP(C532,#REF!,3,0)</f>
        <v>#REF!</v>
      </c>
      <c r="F532" s="205" t="s">
        <v>2385</v>
      </c>
      <c r="G532" s="25" t="s">
        <v>2386</v>
      </c>
      <c r="H532" s="25" t="s">
        <v>1215</v>
      </c>
      <c r="I532" s="35"/>
      <c r="J532" s="36"/>
      <c r="K532" s="37"/>
      <c r="L532" s="38"/>
      <c r="M532" s="39" t="s">
        <v>1250</v>
      </c>
      <c r="N532" s="44">
        <v>800</v>
      </c>
      <c r="O532" s="25"/>
      <c r="P532" s="34"/>
    </row>
    <row r="533" spans="2:16" ht="27.75" customHeight="1">
      <c r="B533" s="25">
        <f t="shared" si="8"/>
        <v>502</v>
      </c>
      <c r="C533" s="42" t="s">
        <v>204</v>
      </c>
      <c r="D533" s="17" t="s">
        <v>204</v>
      </c>
      <c r="E533" s="26" t="e">
        <f>VLOOKUP(C533,#REF!,3,0)</f>
        <v>#REF!</v>
      </c>
      <c r="F533" s="205" t="s">
        <v>2387</v>
      </c>
      <c r="G533" s="25" t="s">
        <v>2388</v>
      </c>
      <c r="H533" s="25" t="s">
        <v>1215</v>
      </c>
      <c r="I533" s="35">
        <v>4</v>
      </c>
      <c r="J533" s="36"/>
      <c r="K533" s="37"/>
      <c r="L533" s="38"/>
      <c r="M533" s="39" t="s">
        <v>1250</v>
      </c>
      <c r="N533" s="44">
        <v>800</v>
      </c>
      <c r="O533" s="63" t="s">
        <v>1360</v>
      </c>
      <c r="P533" s="34"/>
    </row>
    <row r="534" spans="2:16" ht="27.75" customHeight="1">
      <c r="B534" s="25">
        <f t="shared" si="8"/>
        <v>503</v>
      </c>
      <c r="C534" s="42" t="s">
        <v>932</v>
      </c>
      <c r="D534" s="17" t="s">
        <v>932</v>
      </c>
      <c r="E534" s="26" t="e">
        <f>VLOOKUP(C534,#REF!,3,0)</f>
        <v>#REF!</v>
      </c>
      <c r="F534" s="205"/>
      <c r="G534" s="25"/>
      <c r="H534" s="25" t="s">
        <v>1215</v>
      </c>
      <c r="I534" s="35"/>
      <c r="J534" s="36"/>
      <c r="K534" s="37"/>
      <c r="L534" s="38"/>
      <c r="M534" s="39" t="s">
        <v>1250</v>
      </c>
      <c r="N534" s="44">
        <v>800</v>
      </c>
      <c r="O534" s="63" t="s">
        <v>1588</v>
      </c>
      <c r="P534" s="34"/>
    </row>
    <row r="535" spans="2:16" ht="27.75" customHeight="1">
      <c r="B535" s="25">
        <f t="shared" si="8"/>
        <v>504</v>
      </c>
      <c r="C535" s="42" t="s">
        <v>933</v>
      </c>
      <c r="D535" s="17" t="s">
        <v>933</v>
      </c>
      <c r="E535" s="26" t="e">
        <f>VLOOKUP(C535,#REF!,3,0)</f>
        <v>#REF!</v>
      </c>
      <c r="F535" s="205"/>
      <c r="G535" s="25"/>
      <c r="H535" s="25" t="s">
        <v>1215</v>
      </c>
      <c r="I535" s="35"/>
      <c r="J535" s="36"/>
      <c r="K535" s="37"/>
      <c r="L535" s="38"/>
      <c r="M535" s="39" t="s">
        <v>1250</v>
      </c>
      <c r="N535" s="44">
        <v>800</v>
      </c>
      <c r="O535" s="63" t="s">
        <v>1588</v>
      </c>
      <c r="P535" s="34"/>
    </row>
    <row r="536" spans="2:16" ht="27.75" customHeight="1">
      <c r="B536" s="25">
        <f t="shared" si="8"/>
        <v>505</v>
      </c>
      <c r="C536" s="42" t="s">
        <v>324</v>
      </c>
      <c r="D536" s="17" t="s">
        <v>324</v>
      </c>
      <c r="E536" s="26" t="e">
        <f>VLOOKUP(C536,#REF!,3,0)</f>
        <v>#REF!</v>
      </c>
      <c r="F536" s="209" t="s">
        <v>2389</v>
      </c>
      <c r="G536" s="63" t="s">
        <v>2390</v>
      </c>
      <c r="H536" s="63"/>
      <c r="I536" s="70">
        <v>8</v>
      </c>
      <c r="J536" s="71" t="s">
        <v>1256</v>
      </c>
      <c r="K536" s="72"/>
      <c r="L536" s="73"/>
      <c r="M536" s="74"/>
      <c r="N536" s="44">
        <v>500</v>
      </c>
      <c r="O536" s="63" t="s">
        <v>1360</v>
      </c>
      <c r="P536" s="34" t="s">
        <v>2391</v>
      </c>
    </row>
    <row r="537" spans="2:16" ht="27.75" customHeight="1">
      <c r="B537" s="25">
        <f t="shared" si="8"/>
        <v>506</v>
      </c>
      <c r="C537" s="42" t="s">
        <v>325</v>
      </c>
      <c r="D537" s="17" t="s">
        <v>325</v>
      </c>
      <c r="E537" s="26" t="e">
        <f>VLOOKUP(C537,#REF!,3,0)</f>
        <v>#REF!</v>
      </c>
      <c r="F537" s="209" t="s">
        <v>2392</v>
      </c>
      <c r="G537" s="63" t="s">
        <v>2393</v>
      </c>
      <c r="H537" s="63"/>
      <c r="I537" s="70">
        <v>8</v>
      </c>
      <c r="J537" s="71" t="s">
        <v>1256</v>
      </c>
      <c r="K537" s="72"/>
      <c r="L537" s="73"/>
      <c r="M537" s="74"/>
      <c r="N537" s="44">
        <v>500</v>
      </c>
      <c r="O537" s="63" t="s">
        <v>1360</v>
      </c>
      <c r="P537" s="34" t="s">
        <v>2391</v>
      </c>
    </row>
    <row r="538" spans="2:16" ht="27.75" customHeight="1">
      <c r="B538" s="25">
        <f t="shared" si="8"/>
        <v>507</v>
      </c>
      <c r="C538" s="42" t="s">
        <v>1019</v>
      </c>
      <c r="D538" s="17" t="s">
        <v>1019</v>
      </c>
      <c r="E538" s="26" t="e">
        <f>VLOOKUP(C538,#REF!,3,0)</f>
        <v>#REF!</v>
      </c>
      <c r="F538" s="209" t="s">
        <v>2394</v>
      </c>
      <c r="G538" s="63" t="s">
        <v>2395</v>
      </c>
      <c r="H538" s="63"/>
      <c r="I538" s="70">
        <v>8</v>
      </c>
      <c r="J538" s="71" t="s">
        <v>1256</v>
      </c>
      <c r="K538" s="72"/>
      <c r="L538" s="73"/>
      <c r="M538" s="74"/>
      <c r="N538" s="44">
        <v>500</v>
      </c>
      <c r="O538" s="63" t="s">
        <v>1360</v>
      </c>
      <c r="P538" s="34" t="s">
        <v>2396</v>
      </c>
    </row>
    <row r="539" spans="2:16" ht="27.75" customHeight="1">
      <c r="B539" s="25">
        <f t="shared" si="8"/>
        <v>508</v>
      </c>
      <c r="C539" s="42" t="s">
        <v>1018</v>
      </c>
      <c r="D539" s="17" t="s">
        <v>1018</v>
      </c>
      <c r="E539" s="26" t="e">
        <f>VLOOKUP(C539,#REF!,3,0)</f>
        <v>#REF!</v>
      </c>
      <c r="F539" s="209" t="s">
        <v>2397</v>
      </c>
      <c r="G539" s="63" t="s">
        <v>2398</v>
      </c>
      <c r="H539" s="63"/>
      <c r="I539" s="70">
        <v>8</v>
      </c>
      <c r="J539" s="71" t="s">
        <v>1256</v>
      </c>
      <c r="K539" s="72"/>
      <c r="L539" s="73"/>
      <c r="M539" s="74"/>
      <c r="N539" s="44">
        <v>500</v>
      </c>
      <c r="O539" s="63" t="s">
        <v>1360</v>
      </c>
      <c r="P539" s="34" t="s">
        <v>2396</v>
      </c>
    </row>
    <row r="540" spans="2:16" ht="27.75" customHeight="1">
      <c r="B540" s="25">
        <f t="shared" si="8"/>
        <v>509</v>
      </c>
      <c r="C540" s="42" t="s">
        <v>414</v>
      </c>
      <c r="D540" s="17" t="s">
        <v>414</v>
      </c>
      <c r="E540" s="26" t="e">
        <f>VLOOKUP(C540,#REF!,3,0)</f>
        <v>#REF!</v>
      </c>
      <c r="F540" s="209" t="s">
        <v>2399</v>
      </c>
      <c r="G540" s="63" t="s">
        <v>2400</v>
      </c>
      <c r="H540" s="63"/>
      <c r="I540" s="70">
        <v>8</v>
      </c>
      <c r="J540" s="71" t="s">
        <v>1256</v>
      </c>
      <c r="K540" s="72"/>
      <c r="L540" s="73"/>
      <c r="M540" s="74"/>
      <c r="N540" s="44">
        <v>500</v>
      </c>
      <c r="O540" s="63" t="s">
        <v>1360</v>
      </c>
      <c r="P540" s="34" t="s">
        <v>2401</v>
      </c>
    </row>
    <row r="541" spans="2:16" ht="27.75" customHeight="1">
      <c r="B541" s="25">
        <f t="shared" si="8"/>
        <v>510</v>
      </c>
      <c r="C541" s="42" t="s">
        <v>475</v>
      </c>
      <c r="D541" s="17" t="s">
        <v>475</v>
      </c>
      <c r="E541" s="26" t="e">
        <f>VLOOKUP(C541,#REF!,3,0)</f>
        <v>#REF!</v>
      </c>
      <c r="F541" s="209" t="s">
        <v>2402</v>
      </c>
      <c r="G541" s="63" t="s">
        <v>2403</v>
      </c>
      <c r="H541" s="63"/>
      <c r="I541" s="70">
        <v>8</v>
      </c>
      <c r="J541" s="71" t="s">
        <v>1256</v>
      </c>
      <c r="K541" s="72"/>
      <c r="L541" s="73"/>
      <c r="M541" s="74"/>
      <c r="N541" s="44">
        <v>500</v>
      </c>
      <c r="O541" s="63" t="s">
        <v>1360</v>
      </c>
      <c r="P541" s="34" t="s">
        <v>2404</v>
      </c>
    </row>
    <row r="542" spans="2:16" ht="27.75" customHeight="1">
      <c r="B542" s="25">
        <f t="shared" si="8"/>
        <v>511</v>
      </c>
      <c r="C542" s="42" t="s">
        <v>477</v>
      </c>
      <c r="D542" s="17" t="s">
        <v>477</v>
      </c>
      <c r="E542" s="26" t="e">
        <f>VLOOKUP(C542,#REF!,3,0)</f>
        <v>#REF!</v>
      </c>
      <c r="F542" s="209" t="s">
        <v>2405</v>
      </c>
      <c r="G542" s="63" t="s">
        <v>2406</v>
      </c>
      <c r="H542" s="63"/>
      <c r="I542" s="70">
        <v>8</v>
      </c>
      <c r="J542" s="71" t="s">
        <v>1256</v>
      </c>
      <c r="K542" s="72"/>
      <c r="L542" s="73"/>
      <c r="M542" s="74"/>
      <c r="N542" s="44">
        <v>500</v>
      </c>
      <c r="O542" s="63" t="s">
        <v>1360</v>
      </c>
      <c r="P542" s="34" t="s">
        <v>2404</v>
      </c>
    </row>
    <row r="543" spans="2:16" ht="27.75" customHeight="1">
      <c r="B543" s="25">
        <f t="shared" si="8"/>
        <v>512</v>
      </c>
      <c r="C543" s="42" t="s">
        <v>624</v>
      </c>
      <c r="D543" s="17" t="s">
        <v>624</v>
      </c>
      <c r="E543" s="26" t="e">
        <f>VLOOKUP(C543,#REF!,3,0)</f>
        <v>#REF!</v>
      </c>
      <c r="F543" s="209" t="s">
        <v>2407</v>
      </c>
      <c r="G543" s="63" t="s">
        <v>2408</v>
      </c>
      <c r="H543" s="63"/>
      <c r="I543" s="70">
        <v>4</v>
      </c>
      <c r="J543" s="71" t="s">
        <v>1256</v>
      </c>
      <c r="K543" s="72"/>
      <c r="L543" s="73"/>
      <c r="M543" s="74"/>
      <c r="N543" s="44">
        <v>500</v>
      </c>
      <c r="O543" s="63" t="s">
        <v>1360</v>
      </c>
      <c r="P543" s="34" t="s">
        <v>2409</v>
      </c>
    </row>
    <row r="544" spans="2:16" ht="27.75" customHeight="1">
      <c r="B544" s="25">
        <f t="shared" si="8"/>
        <v>513</v>
      </c>
      <c r="C544" s="42" t="s">
        <v>1074</v>
      </c>
      <c r="D544" s="17" t="s">
        <v>1074</v>
      </c>
      <c r="E544" s="26" t="e">
        <f>VLOOKUP(C544,#REF!,3,0)</f>
        <v>#REF!</v>
      </c>
      <c r="F544" s="209" t="s">
        <v>2410</v>
      </c>
      <c r="G544" s="63" t="s">
        <v>2411</v>
      </c>
      <c r="H544" s="63"/>
      <c r="I544" s="70">
        <v>8</v>
      </c>
      <c r="J544" s="71" t="s">
        <v>1256</v>
      </c>
      <c r="K544" s="72"/>
      <c r="L544" s="73"/>
      <c r="M544" s="74"/>
      <c r="N544" s="44">
        <v>500</v>
      </c>
      <c r="O544" s="63" t="s">
        <v>1360</v>
      </c>
      <c r="P544" s="34" t="s">
        <v>2412</v>
      </c>
    </row>
    <row r="545" spans="2:16" ht="27.75" customHeight="1">
      <c r="B545" s="25">
        <f t="shared" si="8"/>
        <v>514</v>
      </c>
      <c r="C545" s="42" t="s">
        <v>106</v>
      </c>
      <c r="D545" s="17" t="s">
        <v>106</v>
      </c>
      <c r="E545" s="26" t="e">
        <f>VLOOKUP(C545,#REF!,3,0)</f>
        <v>#REF!</v>
      </c>
      <c r="F545" s="209" t="s">
        <v>2413</v>
      </c>
      <c r="G545" s="63" t="s">
        <v>2414</v>
      </c>
      <c r="H545" s="63"/>
      <c r="I545" s="70">
        <v>4</v>
      </c>
      <c r="J545" s="71"/>
      <c r="K545" s="72"/>
      <c r="L545" s="73"/>
      <c r="M545" s="74" t="s">
        <v>1250</v>
      </c>
      <c r="N545" s="44">
        <v>500</v>
      </c>
      <c r="O545" s="63" t="s">
        <v>1290</v>
      </c>
      <c r="P545" s="34" t="s">
        <v>2415</v>
      </c>
    </row>
    <row r="546" spans="2:16" ht="27.75" customHeight="1">
      <c r="B546" s="25">
        <f t="shared" si="8"/>
        <v>515</v>
      </c>
      <c r="C546" s="42" t="s">
        <v>103</v>
      </c>
      <c r="D546" s="17" t="s">
        <v>103</v>
      </c>
      <c r="E546" s="26" t="e">
        <f>VLOOKUP(C546,#REF!,3,0)</f>
        <v>#REF!</v>
      </c>
      <c r="F546" s="209" t="s">
        <v>2416</v>
      </c>
      <c r="G546" s="63" t="s">
        <v>2417</v>
      </c>
      <c r="H546" s="63"/>
      <c r="I546" s="70">
        <v>4</v>
      </c>
      <c r="J546" s="71" t="s">
        <v>1256</v>
      </c>
      <c r="K546" s="72"/>
      <c r="L546" s="73"/>
      <c r="M546" s="74"/>
      <c r="N546" s="44">
        <v>500</v>
      </c>
      <c r="O546" s="63" t="s">
        <v>1360</v>
      </c>
      <c r="P546" s="34" t="s">
        <v>2418</v>
      </c>
    </row>
    <row r="547" spans="2:16" ht="27.75" customHeight="1">
      <c r="B547" s="25">
        <f t="shared" si="8"/>
        <v>516</v>
      </c>
      <c r="C547" s="42" t="s">
        <v>101</v>
      </c>
      <c r="D547" s="17" t="s">
        <v>101</v>
      </c>
      <c r="E547" s="26" t="e">
        <f>VLOOKUP(C547,#REF!,3,0)</f>
        <v>#REF!</v>
      </c>
      <c r="F547" s="209" t="s">
        <v>2419</v>
      </c>
      <c r="G547" s="63" t="s">
        <v>2420</v>
      </c>
      <c r="H547" s="63"/>
      <c r="I547" s="70">
        <v>4</v>
      </c>
      <c r="J547" s="71" t="s">
        <v>1256</v>
      </c>
      <c r="K547" s="72"/>
      <c r="L547" s="73"/>
      <c r="M547" s="74"/>
      <c r="N547" s="44">
        <v>500</v>
      </c>
      <c r="O547" s="63" t="s">
        <v>1360</v>
      </c>
      <c r="P547" s="34" t="s">
        <v>2421</v>
      </c>
    </row>
    <row r="548" spans="2:16" ht="27.75" customHeight="1">
      <c r="B548" s="25">
        <f t="shared" si="8"/>
        <v>517</v>
      </c>
      <c r="C548" s="42" t="s">
        <v>100</v>
      </c>
      <c r="D548" s="17" t="s">
        <v>100</v>
      </c>
      <c r="E548" s="26" t="e">
        <f>VLOOKUP(C548,#REF!,3,0)</f>
        <v>#REF!</v>
      </c>
      <c r="F548" s="209" t="s">
        <v>2422</v>
      </c>
      <c r="G548" s="63" t="s">
        <v>2423</v>
      </c>
      <c r="H548" s="63"/>
      <c r="I548" s="70">
        <v>4</v>
      </c>
      <c r="J548" s="71" t="s">
        <v>1256</v>
      </c>
      <c r="K548" s="72"/>
      <c r="L548" s="73"/>
      <c r="M548" s="74"/>
      <c r="N548" s="44">
        <v>500</v>
      </c>
      <c r="O548" s="63" t="s">
        <v>1360</v>
      </c>
      <c r="P548" s="34" t="s">
        <v>2424</v>
      </c>
    </row>
    <row r="549" spans="2:16" ht="27.75" customHeight="1">
      <c r="B549" s="25">
        <f t="shared" si="8"/>
        <v>518</v>
      </c>
      <c r="C549" s="42" t="s">
        <v>105</v>
      </c>
      <c r="D549" s="17" t="s">
        <v>105</v>
      </c>
      <c r="E549" s="26" t="e">
        <f>VLOOKUP(C549,#REF!,3,0)</f>
        <v>#REF!</v>
      </c>
      <c r="F549" s="209" t="s">
        <v>2425</v>
      </c>
      <c r="G549" s="63" t="s">
        <v>2426</v>
      </c>
      <c r="H549" s="63"/>
      <c r="I549" s="70">
        <v>4</v>
      </c>
      <c r="J549" s="71" t="s">
        <v>1256</v>
      </c>
      <c r="K549" s="72"/>
      <c r="L549" s="73"/>
      <c r="M549" s="74"/>
      <c r="N549" s="44">
        <v>500</v>
      </c>
      <c r="O549" s="63" t="s">
        <v>1290</v>
      </c>
      <c r="P549" s="34" t="s">
        <v>2427</v>
      </c>
    </row>
    <row r="550" spans="2:16" ht="27.75" customHeight="1">
      <c r="B550" s="25">
        <f t="shared" si="8"/>
        <v>519</v>
      </c>
      <c r="C550" s="42" t="s">
        <v>989</v>
      </c>
      <c r="D550" s="17" t="s">
        <v>989</v>
      </c>
      <c r="E550" s="26" t="e">
        <f>VLOOKUP(C550,#REF!,3,0)</f>
        <v>#REF!</v>
      </c>
      <c r="F550" s="209" t="s">
        <v>2428</v>
      </c>
      <c r="G550" s="63" t="s">
        <v>2429</v>
      </c>
      <c r="H550" s="63"/>
      <c r="I550" s="70">
        <v>2</v>
      </c>
      <c r="J550" s="71" t="s">
        <v>1256</v>
      </c>
      <c r="K550" s="72"/>
      <c r="L550" s="73"/>
      <c r="M550" s="74"/>
      <c r="N550" s="44">
        <v>500</v>
      </c>
      <c r="O550" s="63" t="s">
        <v>1360</v>
      </c>
      <c r="P550" s="34" t="s">
        <v>2430</v>
      </c>
    </row>
    <row r="551" spans="2:16" ht="27.75" customHeight="1">
      <c r="B551" s="25">
        <f t="shared" si="8"/>
        <v>520</v>
      </c>
      <c r="C551" s="42" t="s">
        <v>99</v>
      </c>
      <c r="D551" s="17" t="s">
        <v>99</v>
      </c>
      <c r="E551" s="26" t="e">
        <f>VLOOKUP(C551,#REF!,3,0)</f>
        <v>#REF!</v>
      </c>
      <c r="F551" s="209" t="s">
        <v>2431</v>
      </c>
      <c r="G551" s="63" t="s">
        <v>2432</v>
      </c>
      <c r="H551" s="63"/>
      <c r="I551" s="70">
        <v>2</v>
      </c>
      <c r="J551" s="71" t="s">
        <v>1256</v>
      </c>
      <c r="K551" s="72"/>
      <c r="L551" s="73"/>
      <c r="M551" s="74"/>
      <c r="N551" s="44">
        <v>500</v>
      </c>
      <c r="O551" s="63" t="s">
        <v>1290</v>
      </c>
      <c r="P551" s="34" t="s">
        <v>2433</v>
      </c>
    </row>
    <row r="552" spans="2:16" ht="27.75" customHeight="1">
      <c r="B552" s="25">
        <f t="shared" si="8"/>
        <v>521</v>
      </c>
      <c r="C552" s="42" t="s">
        <v>593</v>
      </c>
      <c r="D552" s="17" t="s">
        <v>593</v>
      </c>
      <c r="E552" s="26" t="e">
        <f>VLOOKUP(C552,#REF!,3,0)</f>
        <v>#REF!</v>
      </c>
      <c r="F552" s="209" t="s">
        <v>2434</v>
      </c>
      <c r="G552" s="63" t="s">
        <v>2435</v>
      </c>
      <c r="H552" s="63"/>
      <c r="I552" s="70">
        <v>4</v>
      </c>
      <c r="J552" s="71" t="s">
        <v>1256</v>
      </c>
      <c r="K552" s="72"/>
      <c r="L552" s="73"/>
      <c r="M552" s="74"/>
      <c r="N552" s="44">
        <v>500</v>
      </c>
      <c r="O552" s="63" t="s">
        <v>1360</v>
      </c>
      <c r="P552" s="34" t="s">
        <v>2436</v>
      </c>
    </row>
    <row r="553" spans="2:16" ht="27.75" customHeight="1">
      <c r="B553" s="25">
        <f t="shared" si="8"/>
        <v>522</v>
      </c>
      <c r="C553" s="42" t="s">
        <v>622</v>
      </c>
      <c r="D553" s="17" t="s">
        <v>622</v>
      </c>
      <c r="E553" s="26" t="e">
        <f>VLOOKUP(C553,#REF!,3,0)</f>
        <v>#REF!</v>
      </c>
      <c r="F553" s="209" t="s">
        <v>2437</v>
      </c>
      <c r="G553" s="63" t="s">
        <v>2438</v>
      </c>
      <c r="H553" s="63"/>
      <c r="I553" s="70">
        <v>4</v>
      </c>
      <c r="J553" s="71" t="s">
        <v>1256</v>
      </c>
      <c r="K553" s="72"/>
      <c r="L553" s="73"/>
      <c r="M553" s="74"/>
      <c r="N553" s="44">
        <v>500</v>
      </c>
      <c r="O553" s="63" t="s">
        <v>1360</v>
      </c>
      <c r="P553" s="34" t="s">
        <v>2439</v>
      </c>
    </row>
    <row r="554" spans="2:16" ht="27.75" customHeight="1">
      <c r="B554" s="25">
        <f t="shared" si="8"/>
        <v>523</v>
      </c>
      <c r="C554" s="42" t="s">
        <v>619</v>
      </c>
      <c r="D554" s="17" t="s">
        <v>619</v>
      </c>
      <c r="E554" s="26" t="e">
        <f>VLOOKUP(C554,#REF!,3,0)</f>
        <v>#REF!</v>
      </c>
      <c r="F554" s="209" t="s">
        <v>2440</v>
      </c>
      <c r="G554" s="63" t="s">
        <v>2441</v>
      </c>
      <c r="H554" s="63"/>
      <c r="I554" s="70">
        <v>8</v>
      </c>
      <c r="J554" s="71" t="s">
        <v>1256</v>
      </c>
      <c r="K554" s="72"/>
      <c r="L554" s="73"/>
      <c r="M554" s="74"/>
      <c r="N554" s="44">
        <v>500</v>
      </c>
      <c r="O554" s="63" t="s">
        <v>1360</v>
      </c>
      <c r="P554" s="34" t="s">
        <v>2442</v>
      </c>
    </row>
    <row r="555" spans="2:16" ht="27.75" customHeight="1">
      <c r="B555" s="25">
        <f t="shared" si="8"/>
        <v>524</v>
      </c>
      <c r="C555" s="42" t="s">
        <v>689</v>
      </c>
      <c r="D555" s="17" t="s">
        <v>689</v>
      </c>
      <c r="E555" s="26" t="e">
        <f>VLOOKUP(C555,#REF!,3,0)</f>
        <v>#REF!</v>
      </c>
      <c r="F555" s="209" t="s">
        <v>2443</v>
      </c>
      <c r="G555" s="63" t="s">
        <v>2444</v>
      </c>
      <c r="H555" s="63"/>
      <c r="I555" s="70">
        <v>2</v>
      </c>
      <c r="J555" s="71" t="s">
        <v>1256</v>
      </c>
      <c r="K555" s="72"/>
      <c r="L555" s="73"/>
      <c r="M555" s="74"/>
      <c r="N555" s="44">
        <v>500</v>
      </c>
      <c r="O555" s="63" t="s">
        <v>1290</v>
      </c>
      <c r="P555" s="34" t="s">
        <v>1409</v>
      </c>
    </row>
    <row r="556" spans="2:16" ht="27.75" customHeight="1">
      <c r="B556" s="25">
        <f t="shared" si="8"/>
        <v>525</v>
      </c>
      <c r="C556" s="42" t="s">
        <v>262</v>
      </c>
      <c r="D556" s="17" t="s">
        <v>262</v>
      </c>
      <c r="E556" s="26" t="e">
        <f>VLOOKUP(C556,#REF!,3,0)</f>
        <v>#REF!</v>
      </c>
      <c r="F556" s="209" t="s">
        <v>2445</v>
      </c>
      <c r="G556" s="63" t="s">
        <v>2446</v>
      </c>
      <c r="H556" s="63"/>
      <c r="I556" s="70">
        <v>4</v>
      </c>
      <c r="J556" s="71" t="s">
        <v>1256</v>
      </c>
      <c r="K556" s="72"/>
      <c r="L556" s="73"/>
      <c r="M556" s="74"/>
      <c r="N556" s="44">
        <v>500</v>
      </c>
      <c r="O556" s="63" t="s">
        <v>1360</v>
      </c>
      <c r="P556" s="34" t="s">
        <v>2439</v>
      </c>
    </row>
    <row r="557" spans="2:16" ht="27.75" customHeight="1">
      <c r="B557" s="25">
        <f t="shared" si="8"/>
        <v>526</v>
      </c>
      <c r="C557" s="42" t="s">
        <v>263</v>
      </c>
      <c r="D557" s="17" t="s">
        <v>262</v>
      </c>
      <c r="E557" s="26" t="e">
        <f>VLOOKUP(C557,#REF!,3,0)</f>
        <v>#REF!</v>
      </c>
      <c r="F557" s="209" t="s">
        <v>2445</v>
      </c>
      <c r="G557" s="63" t="s">
        <v>2446</v>
      </c>
      <c r="H557" s="63"/>
      <c r="I557" s="70">
        <v>4</v>
      </c>
      <c r="J557" s="71" t="s">
        <v>1256</v>
      </c>
      <c r="K557" s="72"/>
      <c r="L557" s="73"/>
      <c r="M557" s="74"/>
      <c r="N557" s="44"/>
      <c r="O557" s="63"/>
      <c r="P557" s="34"/>
    </row>
    <row r="558" spans="2:16" ht="27.75" customHeight="1">
      <c r="B558" s="25">
        <f t="shared" si="8"/>
        <v>527</v>
      </c>
      <c r="C558" s="42" t="s">
        <v>811</v>
      </c>
      <c r="D558" s="17" t="s">
        <v>811</v>
      </c>
      <c r="E558" s="26" t="e">
        <f>VLOOKUP(C558,#REF!,3,0)</f>
        <v>#REF!</v>
      </c>
      <c r="F558" s="209" t="s">
        <v>2447</v>
      </c>
      <c r="G558" s="75" t="s">
        <v>2448</v>
      </c>
      <c r="H558" s="75"/>
      <c r="I558" s="70">
        <v>2</v>
      </c>
      <c r="J558" s="71" t="s">
        <v>1256</v>
      </c>
      <c r="K558" s="72"/>
      <c r="L558" s="73"/>
      <c r="M558" s="74"/>
      <c r="N558" s="44">
        <v>500</v>
      </c>
      <c r="O558" s="75" t="s">
        <v>1290</v>
      </c>
      <c r="P558" s="34" t="s">
        <v>2449</v>
      </c>
    </row>
    <row r="559" spans="2:16" ht="27.75" customHeight="1">
      <c r="B559" s="25">
        <f t="shared" si="8"/>
        <v>528</v>
      </c>
      <c r="C559" s="42" t="s">
        <v>809</v>
      </c>
      <c r="D559" s="17" t="s">
        <v>811</v>
      </c>
      <c r="E559" s="26" t="e">
        <f>VLOOKUP(C559,#REF!,3,0)</f>
        <v>#REF!</v>
      </c>
      <c r="F559" s="209" t="s">
        <v>2447</v>
      </c>
      <c r="G559" s="75" t="s">
        <v>2448</v>
      </c>
      <c r="H559" s="75"/>
      <c r="I559" s="70">
        <v>2</v>
      </c>
      <c r="J559" s="71" t="s">
        <v>1256</v>
      </c>
      <c r="K559" s="72"/>
      <c r="L559" s="73"/>
      <c r="M559" s="74"/>
      <c r="N559" s="44"/>
      <c r="O559" s="75"/>
      <c r="P559" s="34"/>
    </row>
    <row r="560" spans="2:16" ht="27.75" customHeight="1">
      <c r="B560" s="25">
        <f t="shared" si="8"/>
        <v>529</v>
      </c>
      <c r="C560" s="42" t="s">
        <v>1055</v>
      </c>
      <c r="D560" s="17" t="s">
        <v>1055</v>
      </c>
      <c r="E560" s="26" t="e">
        <f>VLOOKUP(C560,#REF!,3,0)</f>
        <v>#REF!</v>
      </c>
      <c r="F560" s="209" t="s">
        <v>2450</v>
      </c>
      <c r="G560" s="75" t="s">
        <v>2451</v>
      </c>
      <c r="H560" s="75"/>
      <c r="I560" s="70">
        <v>4</v>
      </c>
      <c r="J560" s="71" t="s">
        <v>1256</v>
      </c>
      <c r="K560" s="72"/>
      <c r="L560" s="73"/>
      <c r="M560" s="74"/>
      <c r="N560" s="44">
        <v>500</v>
      </c>
      <c r="O560" s="75" t="s">
        <v>1290</v>
      </c>
      <c r="P560" s="34" t="s">
        <v>2452</v>
      </c>
    </row>
    <row r="561" spans="2:16" ht="27.75" customHeight="1">
      <c r="B561" s="25">
        <f t="shared" si="8"/>
        <v>530</v>
      </c>
      <c r="C561" s="42" t="s">
        <v>47</v>
      </c>
      <c r="D561" s="17" t="s">
        <v>47</v>
      </c>
      <c r="E561" s="26" t="e">
        <f>VLOOKUP(C561,#REF!,3,0)</f>
        <v>#REF!</v>
      </c>
      <c r="F561" s="209" t="s">
        <v>2453</v>
      </c>
      <c r="G561" s="75" t="s">
        <v>2454</v>
      </c>
      <c r="H561" s="75"/>
      <c r="I561" s="70">
        <v>2</v>
      </c>
      <c r="J561" s="71" t="s">
        <v>1256</v>
      </c>
      <c r="K561" s="72"/>
      <c r="L561" s="73"/>
      <c r="M561" s="74"/>
      <c r="N561" s="44">
        <v>500</v>
      </c>
      <c r="O561" s="75" t="s">
        <v>1290</v>
      </c>
      <c r="P561" s="34" t="s">
        <v>2455</v>
      </c>
    </row>
    <row r="562" spans="2:16" ht="27.75" customHeight="1">
      <c r="B562" s="25">
        <f t="shared" si="8"/>
        <v>531</v>
      </c>
      <c r="C562" s="42" t="s">
        <v>803</v>
      </c>
      <c r="D562" s="17" t="s">
        <v>803</v>
      </c>
      <c r="E562" s="26" t="e">
        <f>VLOOKUP(C562,#REF!,3,0)</f>
        <v>#REF!</v>
      </c>
      <c r="F562" s="209" t="s">
        <v>2456</v>
      </c>
      <c r="G562" s="75" t="s">
        <v>2457</v>
      </c>
      <c r="H562" s="75"/>
      <c r="I562" s="70">
        <v>1</v>
      </c>
      <c r="J562" s="71" t="s">
        <v>1256</v>
      </c>
      <c r="K562" s="72"/>
      <c r="L562" s="73"/>
      <c r="M562" s="74"/>
      <c r="N562" s="44">
        <v>500</v>
      </c>
      <c r="O562" s="75" t="s">
        <v>1290</v>
      </c>
      <c r="P562" s="34" t="s">
        <v>2458</v>
      </c>
    </row>
    <row r="563" spans="2:16" ht="27.75" customHeight="1">
      <c r="B563" s="25">
        <f t="shared" si="8"/>
        <v>532</v>
      </c>
      <c r="C563" s="42" t="s">
        <v>796</v>
      </c>
      <c r="D563" s="17" t="s">
        <v>803</v>
      </c>
      <c r="E563" s="26" t="e">
        <f>VLOOKUP(C563,#REF!,3,0)</f>
        <v>#REF!</v>
      </c>
      <c r="F563" s="209" t="s">
        <v>2456</v>
      </c>
      <c r="G563" s="75" t="s">
        <v>2457</v>
      </c>
      <c r="H563" s="75"/>
      <c r="I563" s="70">
        <v>1</v>
      </c>
      <c r="J563" s="71" t="s">
        <v>1256</v>
      </c>
      <c r="K563" s="72"/>
      <c r="L563" s="73"/>
      <c r="M563" s="74"/>
      <c r="N563" s="44"/>
      <c r="O563" s="75"/>
      <c r="P563" s="34"/>
    </row>
    <row r="564" spans="2:16" ht="27.75" customHeight="1">
      <c r="B564" s="25">
        <f t="shared" si="8"/>
        <v>533</v>
      </c>
      <c r="C564" s="42" t="s">
        <v>59</v>
      </c>
      <c r="D564" s="17" t="s">
        <v>59</v>
      </c>
      <c r="E564" s="26" t="e">
        <f>VLOOKUP(C564,#REF!,3,0)</f>
        <v>#REF!</v>
      </c>
      <c r="F564" s="209" t="s">
        <v>2459</v>
      </c>
      <c r="G564" s="75" t="s">
        <v>2460</v>
      </c>
      <c r="H564" s="75"/>
      <c r="I564" s="70">
        <v>4</v>
      </c>
      <c r="J564" s="71"/>
      <c r="K564" s="72"/>
      <c r="L564" s="73"/>
      <c r="M564" s="74" t="s">
        <v>1250</v>
      </c>
      <c r="N564" s="44">
        <v>500</v>
      </c>
      <c r="O564" s="75" t="s">
        <v>1290</v>
      </c>
      <c r="P564" s="34" t="s">
        <v>2461</v>
      </c>
    </row>
    <row r="565" spans="2:16" ht="27.75" customHeight="1">
      <c r="B565" s="25">
        <f t="shared" si="8"/>
        <v>534</v>
      </c>
      <c r="C565" s="42" t="s">
        <v>417</v>
      </c>
      <c r="D565" s="17" t="s">
        <v>417</v>
      </c>
      <c r="E565" s="26" t="e">
        <f>VLOOKUP(C565,#REF!,3,0)</f>
        <v>#REF!</v>
      </c>
      <c r="F565" s="209" t="s">
        <v>2462</v>
      </c>
      <c r="G565" s="75" t="s">
        <v>2463</v>
      </c>
      <c r="H565" s="75"/>
      <c r="I565" s="70">
        <v>4</v>
      </c>
      <c r="J565" s="71" t="s">
        <v>1256</v>
      </c>
      <c r="K565" s="72"/>
      <c r="L565" s="73"/>
      <c r="M565" s="74"/>
      <c r="N565" s="44">
        <v>500</v>
      </c>
      <c r="O565" s="63" t="s">
        <v>2464</v>
      </c>
      <c r="P565" s="34" t="s">
        <v>1413</v>
      </c>
    </row>
    <row r="566" spans="2:16" ht="27.75" customHeight="1">
      <c r="B566" s="25">
        <f t="shared" si="8"/>
        <v>535</v>
      </c>
      <c r="C566" s="42" t="s">
        <v>457</v>
      </c>
      <c r="D566" s="17" t="s">
        <v>457</v>
      </c>
      <c r="E566" s="26" t="e">
        <f>VLOOKUP(C566,#REF!,3,0)</f>
        <v>#REF!</v>
      </c>
      <c r="F566" s="209" t="s">
        <v>2465</v>
      </c>
      <c r="G566" s="75" t="s">
        <v>2466</v>
      </c>
      <c r="H566" s="75"/>
      <c r="I566" s="70">
        <v>8</v>
      </c>
      <c r="J566" s="71" t="s">
        <v>1256</v>
      </c>
      <c r="K566" s="72"/>
      <c r="L566" s="73"/>
      <c r="M566" s="74"/>
      <c r="N566" s="44">
        <v>500</v>
      </c>
      <c r="O566" s="63" t="s">
        <v>1290</v>
      </c>
      <c r="P566" s="34" t="s">
        <v>1393</v>
      </c>
    </row>
    <row r="567" spans="2:16" ht="27.75" customHeight="1">
      <c r="B567" s="25">
        <f t="shared" si="8"/>
        <v>536</v>
      </c>
      <c r="C567" s="42" t="s">
        <v>424</v>
      </c>
      <c r="D567" s="17" t="s">
        <v>424</v>
      </c>
      <c r="E567" s="26" t="e">
        <f>VLOOKUP(C567,#REF!,3,0)</f>
        <v>#REF!</v>
      </c>
      <c r="F567" s="209" t="s">
        <v>2467</v>
      </c>
      <c r="G567" s="75" t="s">
        <v>2468</v>
      </c>
      <c r="H567" s="75"/>
      <c r="I567" s="70">
        <v>8</v>
      </c>
      <c r="J567" s="71" t="s">
        <v>1256</v>
      </c>
      <c r="K567" s="72"/>
      <c r="L567" s="73"/>
      <c r="M567" s="74"/>
      <c r="N567" s="44">
        <v>500</v>
      </c>
      <c r="O567" s="75" t="s">
        <v>1290</v>
      </c>
      <c r="P567" s="34" t="s">
        <v>2469</v>
      </c>
    </row>
    <row r="568" spans="2:16" ht="27.75" customHeight="1">
      <c r="B568" s="25">
        <f t="shared" si="8"/>
        <v>537</v>
      </c>
      <c r="C568" s="42" t="s">
        <v>425</v>
      </c>
      <c r="D568" s="17" t="s">
        <v>425</v>
      </c>
      <c r="E568" s="26" t="e">
        <f>VLOOKUP(C568,#REF!,3,0)</f>
        <v>#REF!</v>
      </c>
      <c r="F568" s="209" t="s">
        <v>2470</v>
      </c>
      <c r="G568" s="75" t="s">
        <v>2471</v>
      </c>
      <c r="H568" s="75"/>
      <c r="I568" s="70">
        <v>4</v>
      </c>
      <c r="J568" s="71" t="s">
        <v>1256</v>
      </c>
      <c r="K568" s="72"/>
      <c r="L568" s="73"/>
      <c r="M568" s="74"/>
      <c r="N568" s="44">
        <v>500</v>
      </c>
      <c r="O568" s="75" t="s">
        <v>1290</v>
      </c>
      <c r="P568" s="34" t="s">
        <v>2472</v>
      </c>
    </row>
    <row r="569" spans="2:16" ht="27.75" customHeight="1">
      <c r="B569" s="25">
        <f t="shared" si="8"/>
        <v>538</v>
      </c>
      <c r="C569" s="42" t="s">
        <v>435</v>
      </c>
      <c r="D569" s="17" t="s">
        <v>435</v>
      </c>
      <c r="E569" s="26" t="e">
        <f>VLOOKUP(C569,#REF!,3,0)</f>
        <v>#REF!</v>
      </c>
      <c r="F569" s="209" t="s">
        <v>2473</v>
      </c>
      <c r="G569" s="75" t="s">
        <v>2474</v>
      </c>
      <c r="H569" s="75"/>
      <c r="I569" s="70">
        <v>8</v>
      </c>
      <c r="J569" s="71" t="s">
        <v>1256</v>
      </c>
      <c r="K569" s="72"/>
      <c r="L569" s="73"/>
      <c r="M569" s="74"/>
      <c r="N569" s="44">
        <v>500</v>
      </c>
      <c r="O569" s="75" t="s">
        <v>1290</v>
      </c>
      <c r="P569" s="34" t="s">
        <v>2469</v>
      </c>
    </row>
    <row r="570" spans="2:16" ht="27.75" customHeight="1">
      <c r="B570" s="25">
        <f t="shared" si="8"/>
        <v>539</v>
      </c>
      <c r="C570" s="42" t="s">
        <v>474</v>
      </c>
      <c r="D570" s="17" t="s">
        <v>474</v>
      </c>
      <c r="E570" s="26" t="e">
        <f>VLOOKUP(C570,#REF!,3,0)</f>
        <v>#REF!</v>
      </c>
      <c r="F570" s="209" t="s">
        <v>2475</v>
      </c>
      <c r="G570" s="75" t="s">
        <v>2476</v>
      </c>
      <c r="H570" s="75"/>
      <c r="I570" s="70">
        <v>4</v>
      </c>
      <c r="J570" s="71" t="s">
        <v>1256</v>
      </c>
      <c r="K570" s="72"/>
      <c r="L570" s="73"/>
      <c r="M570" s="74"/>
      <c r="N570" s="44">
        <v>500</v>
      </c>
      <c r="O570" s="75" t="s">
        <v>1290</v>
      </c>
      <c r="P570" s="34" t="s">
        <v>2477</v>
      </c>
    </row>
    <row r="571" spans="2:16" ht="27.75" customHeight="1">
      <c r="B571" s="25">
        <f t="shared" si="8"/>
        <v>540</v>
      </c>
      <c r="C571" s="42" t="s">
        <v>486</v>
      </c>
      <c r="D571" s="17" t="s">
        <v>486</v>
      </c>
      <c r="E571" s="26" t="e">
        <f>VLOOKUP(C571,#REF!,3,0)</f>
        <v>#REF!</v>
      </c>
      <c r="F571" s="209" t="s">
        <v>2478</v>
      </c>
      <c r="G571" s="75" t="s">
        <v>2479</v>
      </c>
      <c r="H571" s="75"/>
      <c r="I571" s="70">
        <v>2</v>
      </c>
      <c r="J571" s="71" t="s">
        <v>1256</v>
      </c>
      <c r="K571" s="72"/>
      <c r="L571" s="73"/>
      <c r="M571" s="74"/>
      <c r="N571" s="44">
        <v>500</v>
      </c>
      <c r="O571" s="75" t="s">
        <v>1290</v>
      </c>
      <c r="P571" s="34" t="s">
        <v>2480</v>
      </c>
    </row>
    <row r="572" spans="2:16" ht="27.75" customHeight="1">
      <c r="B572" s="25">
        <f t="shared" si="8"/>
        <v>541</v>
      </c>
      <c r="C572" s="42" t="s">
        <v>247</v>
      </c>
      <c r="D572" s="17" t="s">
        <v>247</v>
      </c>
      <c r="E572" s="26" t="e">
        <f>VLOOKUP(C572,#REF!,3,0)</f>
        <v>#REF!</v>
      </c>
      <c r="F572" s="209" t="s">
        <v>2481</v>
      </c>
      <c r="G572" s="75" t="s">
        <v>2482</v>
      </c>
      <c r="H572" s="75"/>
      <c r="I572" s="70">
        <v>4</v>
      </c>
      <c r="J572" s="71" t="s">
        <v>1256</v>
      </c>
      <c r="K572" s="72"/>
      <c r="L572" s="73"/>
      <c r="M572" s="74"/>
      <c r="N572" s="44">
        <v>500</v>
      </c>
      <c r="O572" s="75" t="s">
        <v>1290</v>
      </c>
      <c r="P572" s="34" t="s">
        <v>2483</v>
      </c>
    </row>
    <row r="573" spans="2:16" ht="27.75" customHeight="1">
      <c r="B573" s="25">
        <f t="shared" si="8"/>
        <v>542</v>
      </c>
      <c r="C573" s="42" t="s">
        <v>759</v>
      </c>
      <c r="D573" s="17" t="s">
        <v>759</v>
      </c>
      <c r="E573" s="26" t="e">
        <f>VLOOKUP(C573,#REF!,3,0)</f>
        <v>#REF!</v>
      </c>
      <c r="F573" s="209" t="s">
        <v>2484</v>
      </c>
      <c r="G573" s="75" t="s">
        <v>2485</v>
      </c>
      <c r="H573" s="76" t="s">
        <v>1215</v>
      </c>
      <c r="I573" s="70">
        <v>2</v>
      </c>
      <c r="J573" s="71" t="s">
        <v>1256</v>
      </c>
      <c r="K573" s="72"/>
      <c r="L573" s="73"/>
      <c r="M573" s="74"/>
      <c r="N573" s="44">
        <v>500</v>
      </c>
      <c r="O573" s="75" t="s">
        <v>1290</v>
      </c>
      <c r="P573" s="34" t="s">
        <v>2486</v>
      </c>
    </row>
    <row r="574" spans="2:16" ht="27.75" customHeight="1">
      <c r="B574" s="25">
        <f t="shared" si="8"/>
        <v>543</v>
      </c>
      <c r="C574" s="42" t="s">
        <v>246</v>
      </c>
      <c r="D574" s="17" t="s">
        <v>246</v>
      </c>
      <c r="E574" s="26" t="e">
        <f>VLOOKUP(C574,#REF!,3,0)</f>
        <v>#REF!</v>
      </c>
      <c r="F574" s="209" t="s">
        <v>2487</v>
      </c>
      <c r="G574" s="75" t="s">
        <v>2488</v>
      </c>
      <c r="H574" s="75"/>
      <c r="I574" s="70">
        <v>4</v>
      </c>
      <c r="J574" s="71" t="s">
        <v>1256</v>
      </c>
      <c r="K574" s="72"/>
      <c r="L574" s="73"/>
      <c r="M574" s="74"/>
      <c r="N574" s="44">
        <v>500</v>
      </c>
      <c r="O574" s="75" t="s">
        <v>1290</v>
      </c>
      <c r="P574" s="34" t="s">
        <v>2489</v>
      </c>
    </row>
    <row r="575" spans="2:16" ht="27.75" customHeight="1">
      <c r="B575" s="25">
        <f t="shared" si="8"/>
        <v>544</v>
      </c>
      <c r="C575" s="42" t="s">
        <v>114</v>
      </c>
      <c r="D575" s="17" t="s">
        <v>114</v>
      </c>
      <c r="E575" s="26" t="e">
        <f>VLOOKUP(C575,#REF!,3,0)</f>
        <v>#REF!</v>
      </c>
      <c r="F575" s="209" t="s">
        <v>2490</v>
      </c>
      <c r="G575" s="77" t="s">
        <v>2491</v>
      </c>
      <c r="H575" s="77"/>
      <c r="I575" s="70">
        <v>8</v>
      </c>
      <c r="J575" s="71" t="s">
        <v>1256</v>
      </c>
      <c r="K575" s="72"/>
      <c r="L575" s="73"/>
      <c r="M575" s="74"/>
      <c r="N575" s="44">
        <v>500</v>
      </c>
      <c r="O575" s="77" t="s">
        <v>1290</v>
      </c>
      <c r="P575" s="34" t="s">
        <v>2492</v>
      </c>
    </row>
    <row r="576" spans="2:16" ht="27.75" customHeight="1">
      <c r="B576" s="25">
        <f t="shared" si="8"/>
        <v>545</v>
      </c>
      <c r="C576" s="42" t="s">
        <v>1103</v>
      </c>
      <c r="D576" s="17" t="s">
        <v>1103</v>
      </c>
      <c r="E576" s="26" t="e">
        <f>VLOOKUP(C576,#REF!,3,0)</f>
        <v>#REF!</v>
      </c>
      <c r="F576" s="209" t="s">
        <v>2493</v>
      </c>
      <c r="G576" s="76" t="s">
        <v>2494</v>
      </c>
      <c r="H576" s="76" t="s">
        <v>1215</v>
      </c>
      <c r="I576" s="70">
        <v>2</v>
      </c>
      <c r="J576" s="71" t="s">
        <v>1256</v>
      </c>
      <c r="K576" s="72"/>
      <c r="L576" s="73"/>
      <c r="M576" s="74"/>
      <c r="N576" s="44">
        <v>500</v>
      </c>
      <c r="O576" s="76" t="s">
        <v>1290</v>
      </c>
      <c r="P576" s="34" t="s">
        <v>2495</v>
      </c>
    </row>
    <row r="577" spans="2:16" ht="27.75" customHeight="1">
      <c r="B577" s="25">
        <f t="shared" si="8"/>
        <v>546</v>
      </c>
      <c r="C577" s="42" t="s">
        <v>1105</v>
      </c>
      <c r="D577" s="17" t="s">
        <v>1103</v>
      </c>
      <c r="E577" s="26" t="e">
        <f>VLOOKUP(C577,#REF!,3,0)</f>
        <v>#REF!</v>
      </c>
      <c r="F577" s="209" t="s">
        <v>2493</v>
      </c>
      <c r="G577" s="76" t="s">
        <v>2494</v>
      </c>
      <c r="H577" s="76" t="s">
        <v>1215</v>
      </c>
      <c r="I577" s="70">
        <v>2</v>
      </c>
      <c r="J577" s="71" t="s">
        <v>1256</v>
      </c>
      <c r="K577" s="72"/>
      <c r="L577" s="73"/>
      <c r="M577" s="74"/>
      <c r="N577" s="44"/>
      <c r="O577" s="76"/>
      <c r="P577" s="34"/>
    </row>
    <row r="578" spans="2:16" ht="27.75" customHeight="1">
      <c r="B578" s="25">
        <f t="shared" si="8"/>
        <v>547</v>
      </c>
      <c r="C578" s="42" t="s">
        <v>1104</v>
      </c>
      <c r="D578" s="17" t="s">
        <v>1103</v>
      </c>
      <c r="E578" s="26" t="e">
        <f>VLOOKUP(C578,#REF!,3,0)</f>
        <v>#REF!</v>
      </c>
      <c r="F578" s="209" t="s">
        <v>2493</v>
      </c>
      <c r="G578" s="76" t="s">
        <v>2494</v>
      </c>
      <c r="H578" s="76" t="s">
        <v>1215</v>
      </c>
      <c r="I578" s="70">
        <v>2</v>
      </c>
      <c r="J578" s="71" t="s">
        <v>1256</v>
      </c>
      <c r="K578" s="72"/>
      <c r="L578" s="73"/>
      <c r="M578" s="74"/>
      <c r="N578" s="44"/>
      <c r="O578" s="76"/>
      <c r="P578" s="34"/>
    </row>
    <row r="579" spans="2:16" ht="27.75" customHeight="1">
      <c r="B579" s="25">
        <f t="shared" si="8"/>
        <v>548</v>
      </c>
      <c r="C579" s="42" t="s">
        <v>791</v>
      </c>
      <c r="D579" s="17" t="s">
        <v>791</v>
      </c>
      <c r="E579" s="26" t="e">
        <f>VLOOKUP(C579,#REF!,3,0)</f>
        <v>#REF!</v>
      </c>
      <c r="F579" s="209" t="s">
        <v>2496</v>
      </c>
      <c r="G579" s="67" t="s">
        <v>2497</v>
      </c>
      <c r="H579" s="63" t="s">
        <v>1215</v>
      </c>
      <c r="I579" s="70">
        <v>2</v>
      </c>
      <c r="J579" s="71" t="s">
        <v>1256</v>
      </c>
      <c r="K579" s="72"/>
      <c r="L579" s="73"/>
      <c r="M579" s="74"/>
      <c r="N579" s="44">
        <v>500</v>
      </c>
      <c r="O579" s="67" t="s">
        <v>1290</v>
      </c>
      <c r="P579" s="34" t="s">
        <v>1386</v>
      </c>
    </row>
    <row r="580" spans="2:16" ht="27.75" customHeight="1">
      <c r="B580" s="25">
        <f t="shared" si="8"/>
        <v>549</v>
      </c>
      <c r="C580" s="42" t="s">
        <v>792</v>
      </c>
      <c r="D580" s="17" t="s">
        <v>791</v>
      </c>
      <c r="E580" s="26" t="e">
        <f>VLOOKUP(C580,#REF!,3,0)</f>
        <v>#REF!</v>
      </c>
      <c r="F580" s="209" t="s">
        <v>2496</v>
      </c>
      <c r="G580" s="67" t="s">
        <v>2497</v>
      </c>
      <c r="H580" s="63" t="s">
        <v>1215</v>
      </c>
      <c r="I580" s="70">
        <v>2</v>
      </c>
      <c r="J580" s="71" t="s">
        <v>1256</v>
      </c>
      <c r="K580" s="72"/>
      <c r="L580" s="73"/>
      <c r="M580" s="74"/>
      <c r="N580" s="44"/>
      <c r="O580" s="67"/>
      <c r="P580" s="34"/>
    </row>
    <row r="581" spans="2:16" ht="27.75" customHeight="1">
      <c r="B581" s="25">
        <f t="shared" si="8"/>
        <v>550</v>
      </c>
      <c r="C581" s="42" t="s">
        <v>795</v>
      </c>
      <c r="D581" s="17" t="s">
        <v>791</v>
      </c>
      <c r="E581" s="26" t="e">
        <f>VLOOKUP(C581,#REF!,3,0)</f>
        <v>#REF!</v>
      </c>
      <c r="F581" s="209" t="s">
        <v>2496</v>
      </c>
      <c r="G581" s="67" t="s">
        <v>2497</v>
      </c>
      <c r="H581" s="63" t="s">
        <v>1215</v>
      </c>
      <c r="I581" s="70">
        <v>2</v>
      </c>
      <c r="J581" s="71" t="s">
        <v>1256</v>
      </c>
      <c r="K581" s="72"/>
      <c r="L581" s="73"/>
      <c r="M581" s="74"/>
      <c r="N581" s="44"/>
      <c r="O581" s="67"/>
      <c r="P581" s="34"/>
    </row>
    <row r="582" spans="2:16" ht="27.75" customHeight="1">
      <c r="B582" s="25">
        <f t="shared" si="8"/>
        <v>551</v>
      </c>
      <c r="C582" s="42" t="s">
        <v>793</v>
      </c>
      <c r="D582" s="17" t="s">
        <v>791</v>
      </c>
      <c r="E582" s="26" t="e">
        <f>VLOOKUP(C582,#REF!,3,0)</f>
        <v>#REF!</v>
      </c>
      <c r="F582" s="209" t="s">
        <v>2496</v>
      </c>
      <c r="G582" s="67" t="s">
        <v>2497</v>
      </c>
      <c r="H582" s="63" t="s">
        <v>1215</v>
      </c>
      <c r="I582" s="70">
        <v>2</v>
      </c>
      <c r="J582" s="71" t="s">
        <v>1256</v>
      </c>
      <c r="K582" s="72"/>
      <c r="L582" s="73"/>
      <c r="M582" s="74"/>
      <c r="N582" s="44"/>
      <c r="O582" s="67"/>
      <c r="P582" s="34"/>
    </row>
    <row r="583" spans="2:16" ht="27.75" customHeight="1">
      <c r="B583" s="25">
        <f t="shared" ref="B583:B646" si="9">B582+1</f>
        <v>552</v>
      </c>
      <c r="C583" s="42" t="s">
        <v>2498</v>
      </c>
      <c r="D583" s="17" t="s">
        <v>791</v>
      </c>
      <c r="E583" s="26" t="s">
        <v>1191</v>
      </c>
      <c r="F583" s="209" t="s">
        <v>2496</v>
      </c>
      <c r="G583" s="67" t="s">
        <v>2497</v>
      </c>
      <c r="H583" s="63" t="s">
        <v>1215</v>
      </c>
      <c r="I583" s="70">
        <v>2</v>
      </c>
      <c r="J583" s="71" t="s">
        <v>1256</v>
      </c>
      <c r="K583" s="72"/>
      <c r="L583" s="73"/>
      <c r="M583" s="74"/>
      <c r="N583" s="44"/>
      <c r="O583" s="67"/>
      <c r="P583" s="34"/>
    </row>
    <row r="584" spans="2:16" ht="27.75" customHeight="1">
      <c r="B584" s="25">
        <f t="shared" si="9"/>
        <v>553</v>
      </c>
      <c r="C584" s="42" t="s">
        <v>2499</v>
      </c>
      <c r="D584" s="17" t="s">
        <v>791</v>
      </c>
      <c r="E584" s="26" t="s">
        <v>1189</v>
      </c>
      <c r="F584" s="209" t="s">
        <v>2496</v>
      </c>
      <c r="G584" s="67" t="s">
        <v>2497</v>
      </c>
      <c r="H584" s="63" t="s">
        <v>1215</v>
      </c>
      <c r="I584" s="70">
        <v>2</v>
      </c>
      <c r="J584" s="71" t="s">
        <v>1256</v>
      </c>
      <c r="K584" s="72"/>
      <c r="L584" s="73"/>
      <c r="M584" s="74"/>
      <c r="N584" s="44"/>
      <c r="O584" s="67"/>
      <c r="P584" s="34"/>
    </row>
    <row r="585" spans="2:16" ht="27.75" customHeight="1">
      <c r="B585" s="25">
        <f t="shared" si="9"/>
        <v>554</v>
      </c>
      <c r="C585" s="42" t="s">
        <v>794</v>
      </c>
      <c r="D585" s="17" t="s">
        <v>791</v>
      </c>
      <c r="E585" s="26" t="s">
        <v>1190</v>
      </c>
      <c r="F585" s="209" t="s">
        <v>2496</v>
      </c>
      <c r="G585" s="67" t="s">
        <v>2497</v>
      </c>
      <c r="H585" s="63" t="s">
        <v>1215</v>
      </c>
      <c r="I585" s="70">
        <v>2</v>
      </c>
      <c r="J585" s="71" t="s">
        <v>1256</v>
      </c>
      <c r="K585" s="72"/>
      <c r="L585" s="73"/>
      <c r="M585" s="74"/>
      <c r="N585" s="44"/>
      <c r="O585" s="67"/>
      <c r="P585" s="34"/>
    </row>
    <row r="586" spans="2:16" ht="27.75" customHeight="1">
      <c r="B586" s="25">
        <f t="shared" si="9"/>
        <v>555</v>
      </c>
      <c r="C586" s="42" t="s">
        <v>787</v>
      </c>
      <c r="D586" s="17" t="s">
        <v>787</v>
      </c>
      <c r="E586" s="26" t="e">
        <f>VLOOKUP(C586,#REF!,3,0)</f>
        <v>#REF!</v>
      </c>
      <c r="F586" s="209" t="s">
        <v>2500</v>
      </c>
      <c r="G586" s="67" t="s">
        <v>2501</v>
      </c>
      <c r="H586" s="63" t="s">
        <v>1215</v>
      </c>
      <c r="I586" s="70">
        <v>2</v>
      </c>
      <c r="J586" s="71" t="s">
        <v>1256</v>
      </c>
      <c r="K586" s="72"/>
      <c r="L586" s="73"/>
      <c r="M586" s="74"/>
      <c r="N586" s="44">
        <v>500</v>
      </c>
      <c r="O586" s="67" t="s">
        <v>1290</v>
      </c>
      <c r="P586" s="34" t="s">
        <v>1386</v>
      </c>
    </row>
    <row r="587" spans="2:16" ht="27.75" customHeight="1">
      <c r="B587" s="25">
        <f t="shared" si="9"/>
        <v>556</v>
      </c>
      <c r="C587" s="42" t="s">
        <v>786</v>
      </c>
      <c r="D587" s="17" t="s">
        <v>787</v>
      </c>
      <c r="E587" s="26" t="e">
        <f>VLOOKUP(C587,#REF!,3,0)</f>
        <v>#REF!</v>
      </c>
      <c r="F587" s="209" t="s">
        <v>2500</v>
      </c>
      <c r="G587" s="67" t="s">
        <v>2501</v>
      </c>
      <c r="H587" s="63" t="s">
        <v>1215</v>
      </c>
      <c r="I587" s="70">
        <v>2</v>
      </c>
      <c r="J587" s="71" t="s">
        <v>1256</v>
      </c>
      <c r="K587" s="72"/>
      <c r="L587" s="73"/>
      <c r="M587" s="74"/>
      <c r="N587" s="44"/>
      <c r="O587" s="67"/>
      <c r="P587" s="34"/>
    </row>
    <row r="588" spans="2:16" ht="27.75" customHeight="1">
      <c r="B588" s="25">
        <f t="shared" si="9"/>
        <v>557</v>
      </c>
      <c r="C588" s="42" t="s">
        <v>790</v>
      </c>
      <c r="D588" s="17" t="s">
        <v>787</v>
      </c>
      <c r="E588" s="26" t="e">
        <f>VLOOKUP(C588,#REF!,3,0)</f>
        <v>#REF!</v>
      </c>
      <c r="F588" s="209" t="s">
        <v>2500</v>
      </c>
      <c r="G588" s="67" t="s">
        <v>2501</v>
      </c>
      <c r="H588" s="63" t="s">
        <v>1215</v>
      </c>
      <c r="I588" s="70">
        <v>2</v>
      </c>
      <c r="J588" s="71" t="s">
        <v>1256</v>
      </c>
      <c r="K588" s="72"/>
      <c r="L588" s="73"/>
      <c r="M588" s="74"/>
      <c r="N588" s="44"/>
      <c r="O588" s="67"/>
      <c r="P588" s="34"/>
    </row>
    <row r="589" spans="2:16" ht="27.75" customHeight="1">
      <c r="B589" s="25">
        <f t="shared" si="9"/>
        <v>558</v>
      </c>
      <c r="C589" s="42" t="s">
        <v>788</v>
      </c>
      <c r="D589" s="17" t="s">
        <v>787</v>
      </c>
      <c r="E589" s="26" t="e">
        <f>VLOOKUP(C589,#REF!,3,0)</f>
        <v>#REF!</v>
      </c>
      <c r="F589" s="209" t="s">
        <v>2500</v>
      </c>
      <c r="G589" s="67" t="s">
        <v>2501</v>
      </c>
      <c r="H589" s="63" t="s">
        <v>1215</v>
      </c>
      <c r="I589" s="70">
        <v>2</v>
      </c>
      <c r="J589" s="71" t="s">
        <v>1256</v>
      </c>
      <c r="K589" s="72"/>
      <c r="L589" s="73"/>
      <c r="M589" s="74"/>
      <c r="N589" s="44"/>
      <c r="O589" s="67"/>
      <c r="P589" s="34"/>
    </row>
    <row r="590" spans="2:16" ht="27.75" customHeight="1">
      <c r="B590" s="25">
        <f t="shared" si="9"/>
        <v>559</v>
      </c>
      <c r="C590" s="42" t="s">
        <v>2502</v>
      </c>
      <c r="D590" s="17" t="s">
        <v>787</v>
      </c>
      <c r="E590" s="26" t="s">
        <v>1188</v>
      </c>
      <c r="F590" s="209" t="s">
        <v>2500</v>
      </c>
      <c r="G590" s="67" t="s">
        <v>2501</v>
      </c>
      <c r="H590" s="63" t="s">
        <v>1215</v>
      </c>
      <c r="I590" s="70">
        <v>2</v>
      </c>
      <c r="J590" s="71" t="s">
        <v>1256</v>
      </c>
      <c r="K590" s="72"/>
      <c r="L590" s="73"/>
      <c r="M590" s="74"/>
      <c r="N590" s="44"/>
      <c r="O590" s="67"/>
      <c r="P590" s="34"/>
    </row>
    <row r="591" spans="2:16" ht="27.75" customHeight="1">
      <c r="B591" s="25">
        <f t="shared" si="9"/>
        <v>560</v>
      </c>
      <c r="C591" s="42" t="s">
        <v>2503</v>
      </c>
      <c r="D591" s="17" t="s">
        <v>787</v>
      </c>
      <c r="E591" s="26" t="s">
        <v>1187</v>
      </c>
      <c r="F591" s="209" t="s">
        <v>2500</v>
      </c>
      <c r="G591" s="67" t="s">
        <v>2501</v>
      </c>
      <c r="H591" s="63" t="s">
        <v>1215</v>
      </c>
      <c r="I591" s="70">
        <v>2</v>
      </c>
      <c r="J591" s="71" t="s">
        <v>1256</v>
      </c>
      <c r="K591" s="72"/>
      <c r="L591" s="73"/>
      <c r="M591" s="74"/>
      <c r="N591" s="44"/>
      <c r="O591" s="67"/>
      <c r="P591" s="34"/>
    </row>
    <row r="592" spans="2:16" ht="27.75" customHeight="1">
      <c r="B592" s="25">
        <f t="shared" si="9"/>
        <v>561</v>
      </c>
      <c r="C592" s="42" t="s">
        <v>789</v>
      </c>
      <c r="D592" s="17" t="s">
        <v>787</v>
      </c>
      <c r="E592" s="26" t="e">
        <f>VLOOKUP(C592,#REF!,3,0)</f>
        <v>#REF!</v>
      </c>
      <c r="F592" s="209" t="s">
        <v>2500</v>
      </c>
      <c r="G592" s="67" t="s">
        <v>2501</v>
      </c>
      <c r="H592" s="63" t="s">
        <v>1215</v>
      </c>
      <c r="I592" s="70">
        <v>2</v>
      </c>
      <c r="J592" s="71" t="s">
        <v>1256</v>
      </c>
      <c r="K592" s="72"/>
      <c r="L592" s="73"/>
      <c r="M592" s="74"/>
      <c r="N592" s="44"/>
      <c r="O592" s="67"/>
      <c r="P592" s="34"/>
    </row>
    <row r="593" spans="2:16" ht="27.75" customHeight="1">
      <c r="B593" s="25">
        <f t="shared" si="9"/>
        <v>562</v>
      </c>
      <c r="C593" s="42" t="s">
        <v>665</v>
      </c>
      <c r="D593" s="17" t="s">
        <v>665</v>
      </c>
      <c r="E593" s="26" t="e">
        <f>VLOOKUP(C593,#REF!,3,0)</f>
        <v>#REF!</v>
      </c>
      <c r="F593" s="209" t="s">
        <v>2504</v>
      </c>
      <c r="G593" s="67" t="s">
        <v>2505</v>
      </c>
      <c r="H593" s="67"/>
      <c r="I593" s="70">
        <v>2</v>
      </c>
      <c r="J593" s="71" t="s">
        <v>1256</v>
      </c>
      <c r="K593" s="72"/>
      <c r="L593" s="73"/>
      <c r="M593" s="74"/>
      <c r="N593" s="44">
        <v>500</v>
      </c>
      <c r="O593" s="67" t="s">
        <v>1290</v>
      </c>
      <c r="P593" s="34" t="s">
        <v>2506</v>
      </c>
    </row>
    <row r="594" spans="2:16" ht="27.75" customHeight="1">
      <c r="B594" s="25">
        <f t="shared" si="9"/>
        <v>563</v>
      </c>
      <c r="C594" s="42" t="s">
        <v>728</v>
      </c>
      <c r="D594" s="17" t="s">
        <v>728</v>
      </c>
      <c r="E594" s="26" t="e">
        <f>VLOOKUP(C594,#REF!,3,0)</f>
        <v>#REF!</v>
      </c>
      <c r="F594" s="209" t="s">
        <v>2507</v>
      </c>
      <c r="G594" s="67" t="s">
        <v>2508</v>
      </c>
      <c r="H594" s="67"/>
      <c r="I594" s="70">
        <v>4</v>
      </c>
      <c r="J594" s="71" t="s">
        <v>1256</v>
      </c>
      <c r="K594" s="72"/>
      <c r="L594" s="73"/>
      <c r="M594" s="74"/>
      <c r="N594" s="44">
        <v>500</v>
      </c>
      <c r="O594" s="67" t="s">
        <v>1290</v>
      </c>
      <c r="P594" s="34" t="s">
        <v>2509</v>
      </c>
    </row>
    <row r="595" spans="2:16" ht="27.75" customHeight="1">
      <c r="B595" s="25">
        <f t="shared" si="9"/>
        <v>564</v>
      </c>
      <c r="C595" s="42" t="s">
        <v>611</v>
      </c>
      <c r="D595" s="17" t="s">
        <v>611</v>
      </c>
      <c r="E595" s="26" t="e">
        <f>VLOOKUP(C595,#REF!,3,0)</f>
        <v>#REF!</v>
      </c>
      <c r="F595" s="209" t="s">
        <v>2510</v>
      </c>
      <c r="G595" s="67" t="s">
        <v>2511</v>
      </c>
      <c r="H595" s="67"/>
      <c r="I595" s="70">
        <v>4</v>
      </c>
      <c r="J595" s="71" t="s">
        <v>1256</v>
      </c>
      <c r="K595" s="72"/>
      <c r="L595" s="73"/>
      <c r="M595" s="74"/>
      <c r="N595" s="44">
        <v>500</v>
      </c>
      <c r="O595" s="67" t="s">
        <v>1290</v>
      </c>
      <c r="P595" s="34" t="s">
        <v>2512</v>
      </c>
    </row>
    <row r="596" spans="2:16" ht="27.75" customHeight="1">
      <c r="B596" s="25">
        <f t="shared" si="9"/>
        <v>565</v>
      </c>
      <c r="C596" s="42" t="s">
        <v>494</v>
      </c>
      <c r="D596" s="17" t="s">
        <v>494</v>
      </c>
      <c r="E596" s="26" t="e">
        <f>VLOOKUP(C596,#REF!,3,0)</f>
        <v>#REF!</v>
      </c>
      <c r="F596" s="209" t="s">
        <v>2513</v>
      </c>
      <c r="G596" s="67" t="s">
        <v>2514</v>
      </c>
      <c r="H596" s="67"/>
      <c r="I596" s="70">
        <v>2</v>
      </c>
      <c r="J596" s="71" t="s">
        <v>1256</v>
      </c>
      <c r="K596" s="72"/>
      <c r="L596" s="73"/>
      <c r="M596" s="74"/>
      <c r="N596" s="44">
        <v>500</v>
      </c>
      <c r="O596" s="67" t="s">
        <v>1290</v>
      </c>
      <c r="P596" s="34" t="s">
        <v>2231</v>
      </c>
    </row>
    <row r="597" spans="2:16" ht="27.75" customHeight="1">
      <c r="B597" s="25">
        <f t="shared" si="9"/>
        <v>566</v>
      </c>
      <c r="C597" s="42" t="s">
        <v>416</v>
      </c>
      <c r="D597" s="17" t="s">
        <v>416</v>
      </c>
      <c r="E597" s="26" t="e">
        <f>VLOOKUP(C597,#REF!,3,0)</f>
        <v>#REF!</v>
      </c>
      <c r="F597" s="209" t="s">
        <v>2515</v>
      </c>
      <c r="G597" s="67" t="s">
        <v>2516</v>
      </c>
      <c r="H597" s="67"/>
      <c r="I597" s="70">
        <v>8</v>
      </c>
      <c r="J597" s="71" t="s">
        <v>1256</v>
      </c>
      <c r="K597" s="72"/>
      <c r="L597" s="73"/>
      <c r="M597" s="74"/>
      <c r="N597" s="44">
        <v>500</v>
      </c>
      <c r="O597" s="67" t="s">
        <v>1290</v>
      </c>
      <c r="P597" s="34" t="s">
        <v>2517</v>
      </c>
    </row>
    <row r="598" spans="2:16" ht="27.75" customHeight="1">
      <c r="B598" s="25">
        <f t="shared" si="9"/>
        <v>567</v>
      </c>
      <c r="C598" s="42" t="s">
        <v>456</v>
      </c>
      <c r="D598" s="17" t="s">
        <v>456</v>
      </c>
      <c r="E598" s="26" t="e">
        <f>VLOOKUP(C598,#REF!,3,0)</f>
        <v>#REF!</v>
      </c>
      <c r="F598" s="209" t="s">
        <v>2518</v>
      </c>
      <c r="G598" s="67" t="s">
        <v>2519</v>
      </c>
      <c r="H598" s="67"/>
      <c r="I598" s="70">
        <v>8</v>
      </c>
      <c r="J598" s="71" t="s">
        <v>1256</v>
      </c>
      <c r="K598" s="72"/>
      <c r="L598" s="73"/>
      <c r="M598" s="74"/>
      <c r="N598" s="44">
        <v>500</v>
      </c>
      <c r="O598" s="67" t="s">
        <v>1290</v>
      </c>
      <c r="P598" s="34" t="s">
        <v>2520</v>
      </c>
    </row>
    <row r="599" spans="2:16" ht="27.75" customHeight="1">
      <c r="B599" s="25">
        <f t="shared" si="9"/>
        <v>568</v>
      </c>
      <c r="C599" s="42" t="s">
        <v>396</v>
      </c>
      <c r="D599" s="17" t="s">
        <v>396</v>
      </c>
      <c r="E599" s="26" t="e">
        <f>VLOOKUP(C599,#REF!,3,0)</f>
        <v>#REF!</v>
      </c>
      <c r="F599" s="209" t="s">
        <v>2521</v>
      </c>
      <c r="G599" s="67" t="s">
        <v>2522</v>
      </c>
      <c r="H599" s="67"/>
      <c r="I599" s="70">
        <v>4</v>
      </c>
      <c r="J599" s="71" t="s">
        <v>1256</v>
      </c>
      <c r="K599" s="72"/>
      <c r="L599" s="73"/>
      <c r="M599" s="74"/>
      <c r="N599" s="44">
        <v>500</v>
      </c>
      <c r="O599" s="67" t="s">
        <v>1290</v>
      </c>
      <c r="P599" s="34" t="s">
        <v>1345</v>
      </c>
    </row>
    <row r="600" spans="2:16" ht="27.75" customHeight="1">
      <c r="B600" s="25">
        <f t="shared" si="9"/>
        <v>569</v>
      </c>
      <c r="C600" s="42" t="s">
        <v>410</v>
      </c>
      <c r="D600" s="17" t="s">
        <v>410</v>
      </c>
      <c r="E600" s="26" t="e">
        <f>VLOOKUP(C600,#REF!,3,0)</f>
        <v>#REF!</v>
      </c>
      <c r="F600" s="209" t="s">
        <v>2523</v>
      </c>
      <c r="G600" s="67" t="s">
        <v>2524</v>
      </c>
      <c r="H600" s="67"/>
      <c r="I600" s="70">
        <v>8</v>
      </c>
      <c r="J600" s="71" t="s">
        <v>1256</v>
      </c>
      <c r="K600" s="72"/>
      <c r="L600" s="73"/>
      <c r="M600" s="74"/>
      <c r="N600" s="44">
        <v>500</v>
      </c>
      <c r="O600" s="67" t="s">
        <v>1290</v>
      </c>
      <c r="P600" s="34" t="s">
        <v>2517</v>
      </c>
    </row>
    <row r="601" spans="2:16" ht="27.75" customHeight="1">
      <c r="B601" s="25">
        <f t="shared" si="9"/>
        <v>570</v>
      </c>
      <c r="C601" s="42" t="s">
        <v>412</v>
      </c>
      <c r="D601" s="17" t="s">
        <v>412</v>
      </c>
      <c r="E601" s="26" t="e">
        <f>VLOOKUP(C601,#REF!,3,0)</f>
        <v>#REF!</v>
      </c>
      <c r="F601" s="209" t="s">
        <v>2525</v>
      </c>
      <c r="G601" s="67" t="s">
        <v>2526</v>
      </c>
      <c r="H601" s="67"/>
      <c r="I601" s="70">
        <v>8</v>
      </c>
      <c r="J601" s="71" t="s">
        <v>1256</v>
      </c>
      <c r="K601" s="72"/>
      <c r="L601" s="73"/>
      <c r="M601" s="74"/>
      <c r="N601" s="44">
        <v>500</v>
      </c>
      <c r="O601" s="67" t="s">
        <v>1290</v>
      </c>
      <c r="P601" s="34" t="s">
        <v>2517</v>
      </c>
    </row>
    <row r="602" spans="2:16" ht="27.75" customHeight="1">
      <c r="B602" s="25">
        <f t="shared" si="9"/>
        <v>571</v>
      </c>
      <c r="C602" s="42" t="s">
        <v>406</v>
      </c>
      <c r="D602" s="17" t="s">
        <v>406</v>
      </c>
      <c r="E602" s="26" t="e">
        <f>VLOOKUP(C602,#REF!,3,0)</f>
        <v>#REF!</v>
      </c>
      <c r="F602" s="209" t="s">
        <v>2527</v>
      </c>
      <c r="G602" s="67" t="s">
        <v>2528</v>
      </c>
      <c r="H602" s="67"/>
      <c r="I602" s="70">
        <v>4</v>
      </c>
      <c r="J602" s="71" t="s">
        <v>1256</v>
      </c>
      <c r="K602" s="72"/>
      <c r="L602" s="73"/>
      <c r="M602" s="74"/>
      <c r="N602" s="44">
        <v>500</v>
      </c>
      <c r="O602" s="67" t="s">
        <v>1290</v>
      </c>
      <c r="P602" s="34" t="s">
        <v>2472</v>
      </c>
    </row>
    <row r="603" spans="2:16" ht="27.75" customHeight="1">
      <c r="B603" s="25">
        <f t="shared" si="9"/>
        <v>572</v>
      </c>
      <c r="C603" s="42" t="s">
        <v>469</v>
      </c>
      <c r="D603" s="17" t="s">
        <v>469</v>
      </c>
      <c r="E603" s="26" t="e">
        <f>VLOOKUP(C603,#REF!,3,0)</f>
        <v>#REF!</v>
      </c>
      <c r="F603" s="209" t="s">
        <v>2529</v>
      </c>
      <c r="G603" s="67" t="s">
        <v>2530</v>
      </c>
      <c r="H603" s="67"/>
      <c r="I603" s="70">
        <v>4</v>
      </c>
      <c r="J603" s="71" t="s">
        <v>1256</v>
      </c>
      <c r="K603" s="72"/>
      <c r="L603" s="73"/>
      <c r="M603" s="74"/>
      <c r="N603" s="44">
        <v>500</v>
      </c>
      <c r="O603" s="67" t="s">
        <v>1290</v>
      </c>
      <c r="P603" s="34" t="s">
        <v>1428</v>
      </c>
    </row>
    <row r="604" spans="2:16" ht="27.75" customHeight="1">
      <c r="B604" s="25">
        <f t="shared" si="9"/>
        <v>573</v>
      </c>
      <c r="C604" s="42" t="s">
        <v>426</v>
      </c>
      <c r="D604" s="17" t="s">
        <v>426</v>
      </c>
      <c r="E604" s="26" t="e">
        <f>VLOOKUP(C604,#REF!,3,0)</f>
        <v>#REF!</v>
      </c>
      <c r="F604" s="209" t="s">
        <v>2531</v>
      </c>
      <c r="G604" s="67" t="s">
        <v>2532</v>
      </c>
      <c r="H604" s="67"/>
      <c r="I604" s="70">
        <v>2</v>
      </c>
      <c r="J604" s="71" t="s">
        <v>1256</v>
      </c>
      <c r="K604" s="72"/>
      <c r="L604" s="73"/>
      <c r="M604" s="74"/>
      <c r="N604" s="44">
        <v>500</v>
      </c>
      <c r="O604" s="67" t="s">
        <v>1290</v>
      </c>
      <c r="P604" s="34" t="s">
        <v>1400</v>
      </c>
    </row>
    <row r="605" spans="2:16" ht="27.75" customHeight="1">
      <c r="B605" s="25">
        <f t="shared" si="9"/>
        <v>574</v>
      </c>
      <c r="C605" s="42" t="s">
        <v>763</v>
      </c>
      <c r="D605" s="17" t="s">
        <v>763</v>
      </c>
      <c r="E605" s="26" t="e">
        <f>VLOOKUP(C605,#REF!,3,0)</f>
        <v>#REF!</v>
      </c>
      <c r="F605" s="209" t="s">
        <v>2533</v>
      </c>
      <c r="G605" s="67" t="s">
        <v>2534</v>
      </c>
      <c r="H605" s="67"/>
      <c r="I605" s="70">
        <v>4</v>
      </c>
      <c r="J605" s="71" t="s">
        <v>1256</v>
      </c>
      <c r="K605" s="72"/>
      <c r="L605" s="73"/>
      <c r="M605" s="74"/>
      <c r="N605" s="44">
        <v>500</v>
      </c>
      <c r="O605" s="67" t="s">
        <v>1290</v>
      </c>
      <c r="P605" s="34" t="s">
        <v>2085</v>
      </c>
    </row>
    <row r="606" spans="2:16" ht="27.75" customHeight="1">
      <c r="B606" s="25">
        <f t="shared" si="9"/>
        <v>575</v>
      </c>
      <c r="C606" s="42" t="s">
        <v>250</v>
      </c>
      <c r="D606" s="17" t="s">
        <v>250</v>
      </c>
      <c r="E606" s="26" t="e">
        <f>VLOOKUP(C606,#REF!,3,0)</f>
        <v>#REF!</v>
      </c>
      <c r="F606" s="209" t="s">
        <v>2535</v>
      </c>
      <c r="G606" s="67" t="s">
        <v>2536</v>
      </c>
      <c r="H606" s="67"/>
      <c r="I606" s="70">
        <v>4</v>
      </c>
      <c r="J606" s="71" t="s">
        <v>1256</v>
      </c>
      <c r="K606" s="72"/>
      <c r="L606" s="73"/>
      <c r="M606" s="74"/>
      <c r="N606" s="44">
        <v>500</v>
      </c>
      <c r="O606" s="67" t="s">
        <v>1290</v>
      </c>
      <c r="P606" s="34" t="s">
        <v>2537</v>
      </c>
    </row>
    <row r="607" spans="2:16" ht="27.75" customHeight="1">
      <c r="B607" s="25">
        <f t="shared" si="9"/>
        <v>576</v>
      </c>
      <c r="C607" s="42" t="s">
        <v>660</v>
      </c>
      <c r="D607" s="17" t="s">
        <v>660</v>
      </c>
      <c r="E607" s="26" t="e">
        <f>VLOOKUP(C607,#REF!,3,0)</f>
        <v>#REF!</v>
      </c>
      <c r="F607" s="209" t="s">
        <v>2538</v>
      </c>
      <c r="G607" s="67" t="s">
        <v>2539</v>
      </c>
      <c r="H607" s="63" t="s">
        <v>1215</v>
      </c>
      <c r="I607" s="70">
        <v>4</v>
      </c>
      <c r="J607" s="71" t="s">
        <v>1256</v>
      </c>
      <c r="K607" s="72"/>
      <c r="L607" s="73"/>
      <c r="M607" s="74"/>
      <c r="N607" s="44">
        <v>500</v>
      </c>
      <c r="O607" s="67" t="s">
        <v>1290</v>
      </c>
      <c r="P607" s="34" t="s">
        <v>2540</v>
      </c>
    </row>
    <row r="608" spans="2:16" ht="27.75" customHeight="1">
      <c r="B608" s="25">
        <f t="shared" si="9"/>
        <v>577</v>
      </c>
      <c r="C608" s="42" t="s">
        <v>664</v>
      </c>
      <c r="D608" s="17" t="s">
        <v>660</v>
      </c>
      <c r="E608" s="26" t="e">
        <f>VLOOKUP(C608,#REF!,3,0)</f>
        <v>#REF!</v>
      </c>
      <c r="F608" s="209" t="s">
        <v>2538</v>
      </c>
      <c r="G608" s="67" t="s">
        <v>2539</v>
      </c>
      <c r="H608" s="63" t="s">
        <v>1215</v>
      </c>
      <c r="I608" s="70">
        <v>4</v>
      </c>
      <c r="J608" s="71" t="s">
        <v>1256</v>
      </c>
      <c r="K608" s="72"/>
      <c r="L608" s="73"/>
      <c r="M608" s="74"/>
      <c r="N608" s="44"/>
      <c r="O608" s="67"/>
      <c r="P608" s="34"/>
    </row>
    <row r="609" spans="2:16" ht="27.75" customHeight="1">
      <c r="B609" s="25">
        <f t="shared" si="9"/>
        <v>578</v>
      </c>
      <c r="C609" s="42" t="s">
        <v>662</v>
      </c>
      <c r="D609" s="17" t="s">
        <v>660</v>
      </c>
      <c r="E609" s="26" t="e">
        <f>VLOOKUP(C609,#REF!,3,0)</f>
        <v>#REF!</v>
      </c>
      <c r="F609" s="209" t="s">
        <v>2538</v>
      </c>
      <c r="G609" s="67" t="s">
        <v>2539</v>
      </c>
      <c r="H609" s="63" t="s">
        <v>1215</v>
      </c>
      <c r="I609" s="70">
        <v>4</v>
      </c>
      <c r="J609" s="71" t="s">
        <v>1256</v>
      </c>
      <c r="K609" s="72"/>
      <c r="L609" s="73"/>
      <c r="M609" s="74"/>
      <c r="N609" s="44"/>
      <c r="O609" s="67"/>
      <c r="P609" s="34"/>
    </row>
    <row r="610" spans="2:16" ht="27.75" customHeight="1">
      <c r="B610" s="25">
        <f t="shared" si="9"/>
        <v>579</v>
      </c>
      <c r="C610" s="42" t="s">
        <v>492</v>
      </c>
      <c r="D610" s="17" t="s">
        <v>492</v>
      </c>
      <c r="E610" s="26" t="e">
        <f>VLOOKUP(C610,#REF!,3,0)</f>
        <v>#REF!</v>
      </c>
      <c r="F610" s="209" t="s">
        <v>2541</v>
      </c>
      <c r="G610" s="67" t="s">
        <v>2542</v>
      </c>
      <c r="H610" s="67"/>
      <c r="I610" s="70">
        <v>2</v>
      </c>
      <c r="J610" s="71" t="s">
        <v>1256</v>
      </c>
      <c r="K610" s="72"/>
      <c r="L610" s="73"/>
      <c r="M610" s="74"/>
      <c r="N610" s="44">
        <v>500</v>
      </c>
      <c r="O610" s="67" t="s">
        <v>1290</v>
      </c>
      <c r="P610" s="34" t="s">
        <v>2543</v>
      </c>
    </row>
    <row r="611" spans="2:16" ht="27.75" customHeight="1">
      <c r="B611" s="25">
        <f t="shared" si="9"/>
        <v>580</v>
      </c>
      <c r="C611" s="42" t="s">
        <v>438</v>
      </c>
      <c r="D611" s="17" t="s">
        <v>438</v>
      </c>
      <c r="E611" s="26" t="e">
        <f>VLOOKUP(C611,#REF!,3,0)</f>
        <v>#REF!</v>
      </c>
      <c r="F611" s="209" t="s">
        <v>2544</v>
      </c>
      <c r="G611" s="67" t="s">
        <v>2545</v>
      </c>
      <c r="H611" s="67"/>
      <c r="I611" s="70">
        <v>2</v>
      </c>
      <c r="J611" s="71" t="s">
        <v>1256</v>
      </c>
      <c r="K611" s="72"/>
      <c r="L611" s="73"/>
      <c r="M611" s="74"/>
      <c r="N611" s="44">
        <v>500</v>
      </c>
      <c r="O611" s="67" t="s">
        <v>1290</v>
      </c>
      <c r="P611" s="34" t="s">
        <v>1345</v>
      </c>
    </row>
    <row r="612" spans="2:16" ht="27.75" customHeight="1">
      <c r="B612" s="25">
        <f t="shared" si="9"/>
        <v>581</v>
      </c>
      <c r="C612" s="42" t="s">
        <v>98</v>
      </c>
      <c r="D612" s="17" t="s">
        <v>98</v>
      </c>
      <c r="E612" s="26" t="e">
        <f>VLOOKUP(C612,#REF!,3,0)</f>
        <v>#REF!</v>
      </c>
      <c r="F612" s="209" t="s">
        <v>2546</v>
      </c>
      <c r="G612" s="67" t="s">
        <v>2547</v>
      </c>
      <c r="H612" s="67"/>
      <c r="I612" s="70">
        <v>2</v>
      </c>
      <c r="J612" s="71" t="s">
        <v>1256</v>
      </c>
      <c r="K612" s="72"/>
      <c r="L612" s="73"/>
      <c r="M612" s="74"/>
      <c r="N612" s="44">
        <v>500</v>
      </c>
      <c r="O612" s="67" t="s">
        <v>1290</v>
      </c>
      <c r="P612" s="34" t="s">
        <v>2548</v>
      </c>
    </row>
    <row r="613" spans="2:16" ht="27.75" customHeight="1">
      <c r="B613" s="25">
        <f t="shared" si="9"/>
        <v>582</v>
      </c>
      <c r="C613" s="42" t="s">
        <v>107</v>
      </c>
      <c r="D613" s="17" t="s">
        <v>107</v>
      </c>
      <c r="E613" s="26" t="e">
        <f>VLOOKUP(C613,#REF!,3,0)</f>
        <v>#REF!</v>
      </c>
      <c r="F613" s="209" t="s">
        <v>2549</v>
      </c>
      <c r="G613" s="67" t="s">
        <v>2550</v>
      </c>
      <c r="H613" s="67"/>
      <c r="I613" s="70">
        <v>4</v>
      </c>
      <c r="J613" s="71" t="s">
        <v>1256</v>
      </c>
      <c r="K613" s="72"/>
      <c r="L613" s="73"/>
      <c r="M613" s="74"/>
      <c r="N613" s="44">
        <v>500</v>
      </c>
      <c r="O613" s="67" t="s">
        <v>1290</v>
      </c>
      <c r="P613" s="34" t="s">
        <v>2258</v>
      </c>
    </row>
    <row r="614" spans="2:16" ht="27.75" customHeight="1">
      <c r="B614" s="25">
        <f t="shared" si="9"/>
        <v>583</v>
      </c>
      <c r="C614" s="42" t="s">
        <v>731</v>
      </c>
      <c r="D614" s="17" t="s">
        <v>731</v>
      </c>
      <c r="E614" s="26" t="e">
        <f>VLOOKUP(C614,#REF!,3,0)</f>
        <v>#REF!</v>
      </c>
      <c r="F614" s="209" t="s">
        <v>2551</v>
      </c>
      <c r="G614" s="67" t="s">
        <v>2552</v>
      </c>
      <c r="H614" s="67"/>
      <c r="I614" s="70">
        <v>4</v>
      </c>
      <c r="J614" s="71"/>
      <c r="K614" s="72"/>
      <c r="L614" s="73"/>
      <c r="M614" s="74" t="s">
        <v>1250</v>
      </c>
      <c r="N614" s="44">
        <v>500</v>
      </c>
      <c r="O614" s="67" t="s">
        <v>1290</v>
      </c>
      <c r="P614" s="34" t="s">
        <v>2553</v>
      </c>
    </row>
    <row r="615" spans="2:16" ht="27.75" customHeight="1">
      <c r="B615" s="25">
        <f t="shared" si="9"/>
        <v>584</v>
      </c>
      <c r="C615" s="42" t="s">
        <v>719</v>
      </c>
      <c r="D615" s="17" t="s">
        <v>719</v>
      </c>
      <c r="E615" s="26" t="e">
        <f>VLOOKUP(C615,#REF!,3,0)</f>
        <v>#REF!</v>
      </c>
      <c r="F615" s="209" t="s">
        <v>2554</v>
      </c>
      <c r="G615" s="67" t="s">
        <v>2555</v>
      </c>
      <c r="H615" s="67"/>
      <c r="I615" s="70">
        <v>2</v>
      </c>
      <c r="J615" s="71"/>
      <c r="K615" s="72"/>
      <c r="L615" s="73"/>
      <c r="M615" s="74" t="s">
        <v>1250</v>
      </c>
      <c r="N615" s="44">
        <v>500</v>
      </c>
      <c r="O615" s="67" t="s">
        <v>1290</v>
      </c>
      <c r="P615" s="34" t="s">
        <v>2556</v>
      </c>
    </row>
    <row r="616" spans="2:16" ht="27.75" customHeight="1">
      <c r="B616" s="25">
        <f t="shared" si="9"/>
        <v>585</v>
      </c>
      <c r="C616" s="42" t="s">
        <v>720</v>
      </c>
      <c r="D616" s="17" t="s">
        <v>720</v>
      </c>
      <c r="E616" s="26" t="e">
        <f>VLOOKUP(C616,#REF!,3,0)</f>
        <v>#REF!</v>
      </c>
      <c r="F616" s="209" t="s">
        <v>2557</v>
      </c>
      <c r="G616" s="67" t="s">
        <v>2558</v>
      </c>
      <c r="H616" s="67"/>
      <c r="I616" s="70">
        <v>2</v>
      </c>
      <c r="J616" s="71"/>
      <c r="K616" s="72"/>
      <c r="L616" s="73"/>
      <c r="M616" s="74" t="s">
        <v>1250</v>
      </c>
      <c r="N616" s="44">
        <v>500</v>
      </c>
      <c r="O616" s="67" t="s">
        <v>1290</v>
      </c>
      <c r="P616" s="34" t="s">
        <v>2559</v>
      </c>
    </row>
    <row r="617" spans="2:16" ht="27.75" customHeight="1">
      <c r="B617" s="25">
        <f t="shared" si="9"/>
        <v>586</v>
      </c>
      <c r="C617" s="42" t="s">
        <v>293</v>
      </c>
      <c r="D617" s="17" t="s">
        <v>293</v>
      </c>
      <c r="E617" s="26" t="e">
        <f>VLOOKUP(C617,#REF!,3,0)</f>
        <v>#REF!</v>
      </c>
      <c r="F617" s="209" t="s">
        <v>2560</v>
      </c>
      <c r="G617" s="67" t="s">
        <v>2561</v>
      </c>
      <c r="H617" s="67"/>
      <c r="I617" s="70">
        <v>4</v>
      </c>
      <c r="J617" s="71" t="s">
        <v>1256</v>
      </c>
      <c r="K617" s="72"/>
      <c r="L617" s="73"/>
      <c r="M617" s="74"/>
      <c r="N617" s="44">
        <v>500</v>
      </c>
      <c r="O617" s="67" t="s">
        <v>1290</v>
      </c>
      <c r="P617" s="34" t="s">
        <v>2562</v>
      </c>
    </row>
    <row r="618" spans="2:16" ht="27.75" customHeight="1">
      <c r="B618" s="25">
        <f t="shared" si="9"/>
        <v>587</v>
      </c>
      <c r="C618" s="42" t="s">
        <v>328</v>
      </c>
      <c r="D618" s="17" t="s">
        <v>328</v>
      </c>
      <c r="E618" s="26" t="e">
        <f>VLOOKUP(C618,#REF!,3,0)</f>
        <v>#REF!</v>
      </c>
      <c r="F618" s="209" t="s">
        <v>2563</v>
      </c>
      <c r="G618" s="67" t="s">
        <v>2564</v>
      </c>
      <c r="H618" s="67"/>
      <c r="I618" s="70">
        <v>2</v>
      </c>
      <c r="J618" s="71" t="s">
        <v>1256</v>
      </c>
      <c r="K618" s="72"/>
      <c r="L618" s="73"/>
      <c r="M618" s="74"/>
      <c r="N618" s="44">
        <v>500</v>
      </c>
      <c r="O618" s="67" t="s">
        <v>1290</v>
      </c>
      <c r="P618" s="34" t="s">
        <v>2565</v>
      </c>
    </row>
    <row r="619" spans="2:16" ht="27.75" customHeight="1">
      <c r="B619" s="25">
        <f t="shared" si="9"/>
        <v>588</v>
      </c>
      <c r="C619" s="42" t="s">
        <v>329</v>
      </c>
      <c r="D619" s="17" t="s">
        <v>329</v>
      </c>
      <c r="E619" s="26" t="s">
        <v>1140</v>
      </c>
      <c r="F619" s="209" t="s">
        <v>2566</v>
      </c>
      <c r="G619" s="67" t="s">
        <v>2567</v>
      </c>
      <c r="H619" s="67"/>
      <c r="I619" s="70">
        <v>2</v>
      </c>
      <c r="J619" s="71" t="s">
        <v>1256</v>
      </c>
      <c r="K619" s="72"/>
      <c r="L619" s="73"/>
      <c r="M619" s="74"/>
      <c r="N619" s="44">
        <v>500</v>
      </c>
      <c r="O619" s="67" t="s">
        <v>1290</v>
      </c>
      <c r="P619" s="34" t="s">
        <v>2565</v>
      </c>
    </row>
    <row r="620" spans="2:16" ht="27.75" customHeight="1">
      <c r="B620" s="25">
        <f t="shared" si="9"/>
        <v>589</v>
      </c>
      <c r="C620" s="42" t="s">
        <v>413</v>
      </c>
      <c r="D620" s="17" t="s">
        <v>413</v>
      </c>
      <c r="E620" s="26" t="e">
        <f>VLOOKUP(C620,#REF!,3,0)</f>
        <v>#REF!</v>
      </c>
      <c r="F620" s="209" t="s">
        <v>2568</v>
      </c>
      <c r="G620" s="67" t="s">
        <v>2569</v>
      </c>
      <c r="H620" s="67"/>
      <c r="I620" s="70">
        <v>8</v>
      </c>
      <c r="J620" s="71" t="s">
        <v>1256</v>
      </c>
      <c r="K620" s="72"/>
      <c r="L620" s="73"/>
      <c r="M620" s="74"/>
      <c r="N620" s="44">
        <v>500</v>
      </c>
      <c r="O620" s="67" t="s">
        <v>1290</v>
      </c>
      <c r="P620" s="34" t="s">
        <v>2570</v>
      </c>
    </row>
    <row r="621" spans="2:16" ht="27.75" customHeight="1">
      <c r="B621" s="25">
        <f t="shared" si="9"/>
        <v>590</v>
      </c>
      <c r="C621" s="42" t="s">
        <v>761</v>
      </c>
      <c r="D621" s="17" t="s">
        <v>761</v>
      </c>
      <c r="E621" s="26" t="e">
        <f>VLOOKUP(C621,#REF!,3,0)</f>
        <v>#REF!</v>
      </c>
      <c r="F621" s="209" t="s">
        <v>2571</v>
      </c>
      <c r="G621" s="67" t="s">
        <v>2572</v>
      </c>
      <c r="H621" s="67"/>
      <c r="I621" s="70">
        <v>2</v>
      </c>
      <c r="J621" s="71" t="s">
        <v>1256</v>
      </c>
      <c r="K621" s="72"/>
      <c r="L621" s="73"/>
      <c r="M621" s="74"/>
      <c r="N621" s="44">
        <v>500</v>
      </c>
      <c r="O621" s="67" t="s">
        <v>1290</v>
      </c>
      <c r="P621" s="34" t="s">
        <v>2573</v>
      </c>
    </row>
    <row r="622" spans="2:16" ht="27.75" customHeight="1">
      <c r="B622" s="25">
        <f t="shared" si="9"/>
        <v>591</v>
      </c>
      <c r="C622" s="42" t="s">
        <v>760</v>
      </c>
      <c r="D622" s="17" t="s">
        <v>760</v>
      </c>
      <c r="E622" s="26" t="e">
        <f>VLOOKUP(C622,#REF!,3,0)</f>
        <v>#REF!</v>
      </c>
      <c r="F622" s="209" t="s">
        <v>2574</v>
      </c>
      <c r="G622" s="67" t="s">
        <v>2575</v>
      </c>
      <c r="H622" s="67"/>
      <c r="I622" s="70">
        <v>2</v>
      </c>
      <c r="J622" s="71"/>
      <c r="K622" s="72"/>
      <c r="L622" s="73"/>
      <c r="M622" s="74" t="s">
        <v>1250</v>
      </c>
      <c r="N622" s="44">
        <v>500</v>
      </c>
      <c r="O622" s="67" t="s">
        <v>1290</v>
      </c>
      <c r="P622" s="34" t="s">
        <v>2576</v>
      </c>
    </row>
    <row r="623" spans="2:16" ht="27.75" customHeight="1">
      <c r="B623" s="25">
        <f t="shared" si="9"/>
        <v>592</v>
      </c>
      <c r="C623" s="42" t="s">
        <v>254</v>
      </c>
      <c r="D623" s="17" t="s">
        <v>254</v>
      </c>
      <c r="E623" s="26" t="e">
        <f>VLOOKUP(C623,#REF!,3,0)</f>
        <v>#REF!</v>
      </c>
      <c r="F623" s="209" t="s">
        <v>2577</v>
      </c>
      <c r="G623" s="67" t="s">
        <v>2578</v>
      </c>
      <c r="H623" s="67"/>
      <c r="I623" s="70">
        <v>2</v>
      </c>
      <c r="J623" s="71"/>
      <c r="K623" s="72"/>
      <c r="L623" s="73"/>
      <c r="M623" s="74" t="s">
        <v>1250</v>
      </c>
      <c r="N623" s="44">
        <v>500</v>
      </c>
      <c r="O623" s="67" t="s">
        <v>1290</v>
      </c>
      <c r="P623" s="34" t="s">
        <v>2579</v>
      </c>
    </row>
    <row r="624" spans="2:16" ht="27.75" customHeight="1">
      <c r="B624" s="25">
        <f t="shared" si="9"/>
        <v>593</v>
      </c>
      <c r="C624" s="42" t="s">
        <v>1016</v>
      </c>
      <c r="D624" s="17" t="s">
        <v>1016</v>
      </c>
      <c r="E624" s="26" t="e">
        <f>VLOOKUP(C624,#REF!,3,0)</f>
        <v>#REF!</v>
      </c>
      <c r="F624" s="209" t="s">
        <v>2580</v>
      </c>
      <c r="G624" s="67" t="s">
        <v>2581</v>
      </c>
      <c r="H624" s="67"/>
      <c r="I624" s="70">
        <v>4</v>
      </c>
      <c r="J624" s="71" t="s">
        <v>1256</v>
      </c>
      <c r="K624" s="72"/>
      <c r="L624" s="73"/>
      <c r="M624" s="74"/>
      <c r="N624" s="44">
        <v>500</v>
      </c>
      <c r="O624" s="25" t="s">
        <v>1360</v>
      </c>
      <c r="P624" s="34" t="s">
        <v>2199</v>
      </c>
    </row>
    <row r="625" spans="2:16" ht="27.75" customHeight="1">
      <c r="B625" s="25">
        <f t="shared" si="9"/>
        <v>594</v>
      </c>
      <c r="C625" s="42" t="s">
        <v>1017</v>
      </c>
      <c r="D625" s="17" t="s">
        <v>1017</v>
      </c>
      <c r="E625" s="26" t="s">
        <v>1206</v>
      </c>
      <c r="F625" s="209" t="s">
        <v>2582</v>
      </c>
      <c r="G625" s="25" t="s">
        <v>2398</v>
      </c>
      <c r="H625" s="25"/>
      <c r="I625" s="70">
        <v>4</v>
      </c>
      <c r="J625" s="71" t="s">
        <v>1256</v>
      </c>
      <c r="K625" s="72"/>
      <c r="L625" s="73"/>
      <c r="M625" s="74"/>
      <c r="N625" s="44">
        <v>500</v>
      </c>
      <c r="O625" s="25" t="s">
        <v>1360</v>
      </c>
      <c r="P625" s="34" t="s">
        <v>2583</v>
      </c>
    </row>
    <row r="626" spans="2:16" ht="27.75" customHeight="1">
      <c r="B626" s="25">
        <f t="shared" si="9"/>
        <v>595</v>
      </c>
      <c r="C626" s="42" t="s">
        <v>478</v>
      </c>
      <c r="D626" s="17" t="s">
        <v>478</v>
      </c>
      <c r="E626" s="26" t="s">
        <v>1152</v>
      </c>
      <c r="F626" s="209" t="s">
        <v>2584</v>
      </c>
      <c r="G626" s="25" t="s">
        <v>2585</v>
      </c>
      <c r="H626" s="25"/>
      <c r="I626" s="70">
        <v>4</v>
      </c>
      <c r="J626" s="71" t="s">
        <v>1256</v>
      </c>
      <c r="K626" s="72"/>
      <c r="L626" s="73"/>
      <c r="M626" s="74"/>
      <c r="N626" s="44">
        <v>500</v>
      </c>
      <c r="O626" s="25" t="s">
        <v>1360</v>
      </c>
      <c r="P626" s="34" t="s">
        <v>2586</v>
      </c>
    </row>
    <row r="627" spans="2:16" ht="27.75" customHeight="1">
      <c r="B627" s="25">
        <f t="shared" si="9"/>
        <v>596</v>
      </c>
      <c r="C627" s="42" t="s">
        <v>187</v>
      </c>
      <c r="D627" s="17" t="s">
        <v>187</v>
      </c>
      <c r="E627" s="26" t="s">
        <v>1133</v>
      </c>
      <c r="F627" s="209" t="s">
        <v>2587</v>
      </c>
      <c r="G627" s="25" t="s">
        <v>2588</v>
      </c>
      <c r="H627" s="25"/>
      <c r="I627" s="70">
        <v>8</v>
      </c>
      <c r="J627" s="71" t="s">
        <v>1256</v>
      </c>
      <c r="K627" s="72"/>
      <c r="L627" s="73"/>
      <c r="M627" s="74"/>
      <c r="N627" s="44">
        <v>500</v>
      </c>
      <c r="O627" s="25" t="s">
        <v>1360</v>
      </c>
      <c r="P627" s="34" t="s">
        <v>2589</v>
      </c>
    </row>
    <row r="628" spans="2:16" ht="27.75" customHeight="1">
      <c r="B628" s="25">
        <f t="shared" si="9"/>
        <v>597</v>
      </c>
      <c r="C628" s="42" t="s">
        <v>476</v>
      </c>
      <c r="D628" s="17" t="s">
        <v>476</v>
      </c>
      <c r="E628" s="26" t="s">
        <v>1151</v>
      </c>
      <c r="F628" s="209" t="s">
        <v>2590</v>
      </c>
      <c r="G628" s="25" t="s">
        <v>2591</v>
      </c>
      <c r="H628" s="25"/>
      <c r="I628" s="70">
        <v>4</v>
      </c>
      <c r="J628" s="71" t="s">
        <v>1256</v>
      </c>
      <c r="K628" s="72"/>
      <c r="L628" s="73"/>
      <c r="M628" s="74"/>
      <c r="N628" s="44">
        <v>500</v>
      </c>
      <c r="O628" s="25" t="s">
        <v>1360</v>
      </c>
      <c r="P628" s="34" t="s">
        <v>2331</v>
      </c>
    </row>
    <row r="629" spans="2:16" ht="27.75" customHeight="1">
      <c r="B629" s="25">
        <f t="shared" si="9"/>
        <v>598</v>
      </c>
      <c r="C629" s="42" t="s">
        <v>473</v>
      </c>
      <c r="D629" s="17" t="s">
        <v>473</v>
      </c>
      <c r="E629" s="26" t="s">
        <v>1150</v>
      </c>
      <c r="F629" s="209" t="s">
        <v>2592</v>
      </c>
      <c r="G629" s="25" t="s">
        <v>2593</v>
      </c>
      <c r="H629" s="25"/>
      <c r="I629" s="70">
        <v>4</v>
      </c>
      <c r="J629" s="71" t="s">
        <v>1256</v>
      </c>
      <c r="K629" s="72"/>
      <c r="L629" s="73"/>
      <c r="M629" s="74"/>
      <c r="N629" s="44">
        <v>500</v>
      </c>
      <c r="O629" s="25" t="s">
        <v>1360</v>
      </c>
      <c r="P629" s="34" t="s">
        <v>2594</v>
      </c>
    </row>
    <row r="630" spans="2:16" ht="27.75" customHeight="1">
      <c r="B630" s="25">
        <f t="shared" si="9"/>
        <v>599</v>
      </c>
      <c r="C630" s="42" t="s">
        <v>102</v>
      </c>
      <c r="D630" s="17" t="s">
        <v>102</v>
      </c>
      <c r="E630" s="26" t="s">
        <v>1127</v>
      </c>
      <c r="F630" s="209" t="s">
        <v>2595</v>
      </c>
      <c r="G630" s="25" t="s">
        <v>2596</v>
      </c>
      <c r="H630" s="25"/>
      <c r="I630" s="70">
        <v>4</v>
      </c>
      <c r="J630" s="71" t="s">
        <v>1256</v>
      </c>
      <c r="K630" s="72"/>
      <c r="L630" s="73"/>
      <c r="M630" s="74"/>
      <c r="N630" s="44">
        <v>500</v>
      </c>
      <c r="O630" s="25" t="s">
        <v>1360</v>
      </c>
      <c r="P630" s="34" t="s">
        <v>2597</v>
      </c>
    </row>
    <row r="631" spans="2:16" ht="27.75" customHeight="1">
      <c r="B631" s="25">
        <f t="shared" si="9"/>
        <v>600</v>
      </c>
      <c r="C631" s="42" t="s">
        <v>799</v>
      </c>
      <c r="D631" s="17" t="s">
        <v>799</v>
      </c>
      <c r="E631" s="26" t="s">
        <v>1192</v>
      </c>
      <c r="F631" s="209" t="s">
        <v>2598</v>
      </c>
      <c r="G631" s="25" t="s">
        <v>2599</v>
      </c>
      <c r="H631" s="25"/>
      <c r="I631" s="70">
        <v>2</v>
      </c>
      <c r="J631" s="71" t="s">
        <v>1256</v>
      </c>
      <c r="K631" s="72"/>
      <c r="L631" s="73"/>
      <c r="M631" s="74"/>
      <c r="N631" s="44">
        <v>500</v>
      </c>
      <c r="O631" s="25" t="s">
        <v>1360</v>
      </c>
      <c r="P631" s="34" t="s">
        <v>2600</v>
      </c>
    </row>
    <row r="632" spans="2:16" ht="27.75" customHeight="1">
      <c r="B632" s="25">
        <f t="shared" si="9"/>
        <v>601</v>
      </c>
      <c r="C632" s="42" t="s">
        <v>111</v>
      </c>
      <c r="D632" s="17" t="s">
        <v>111</v>
      </c>
      <c r="E632" s="26" t="s">
        <v>1129</v>
      </c>
      <c r="F632" s="209" t="s">
        <v>2601</v>
      </c>
      <c r="G632" s="25" t="s">
        <v>2602</v>
      </c>
      <c r="H632" s="25"/>
      <c r="I632" s="70">
        <v>4</v>
      </c>
      <c r="J632" s="71" t="s">
        <v>1256</v>
      </c>
      <c r="K632" s="72"/>
      <c r="L632" s="73"/>
      <c r="M632" s="74"/>
      <c r="N632" s="44">
        <v>500</v>
      </c>
      <c r="O632" s="25" t="s">
        <v>1360</v>
      </c>
      <c r="P632" s="34" t="s">
        <v>2418</v>
      </c>
    </row>
    <row r="633" spans="2:16" ht="27.75" customHeight="1">
      <c r="B633" s="25">
        <f t="shared" si="9"/>
        <v>602</v>
      </c>
      <c r="C633" s="42" t="s">
        <v>75</v>
      </c>
      <c r="D633" s="16" t="s">
        <v>75</v>
      </c>
      <c r="E633" s="26" t="e">
        <f>VLOOKUP(C633,#REF!,3,0)</f>
        <v>#REF!</v>
      </c>
      <c r="F633" s="210" t="s">
        <v>2603</v>
      </c>
      <c r="G633" s="79" t="s">
        <v>2602</v>
      </c>
      <c r="H633" s="79"/>
      <c r="I633" s="80">
        <v>2</v>
      </c>
      <c r="J633" s="81" t="s">
        <v>1256</v>
      </c>
      <c r="K633" s="82"/>
      <c r="L633" s="83"/>
      <c r="M633" s="84"/>
      <c r="N633" s="44">
        <v>500</v>
      </c>
      <c r="O633" s="25" t="s">
        <v>1290</v>
      </c>
      <c r="P633" s="34"/>
    </row>
    <row r="634" spans="2:16" ht="27.75" customHeight="1">
      <c r="B634" s="25">
        <f t="shared" si="9"/>
        <v>603</v>
      </c>
      <c r="C634" s="42" t="s">
        <v>1038</v>
      </c>
      <c r="D634" s="16" t="s">
        <v>1038</v>
      </c>
      <c r="E634" s="26" t="s">
        <v>1207</v>
      </c>
      <c r="F634" s="208" t="s">
        <v>2604</v>
      </c>
      <c r="G634" s="68" t="s">
        <v>2605</v>
      </c>
      <c r="H634" s="68"/>
      <c r="I634" s="58">
        <v>4</v>
      </c>
      <c r="J634" s="85" t="s">
        <v>1256</v>
      </c>
      <c r="K634" s="86"/>
      <c r="L634" s="87"/>
      <c r="M634" s="88"/>
      <c r="N634" s="44">
        <v>500</v>
      </c>
      <c r="O634" s="25" t="s">
        <v>1290</v>
      </c>
      <c r="P634" s="34"/>
    </row>
    <row r="635" spans="2:16" ht="27.75" customHeight="1">
      <c r="B635" s="25">
        <f t="shared" si="9"/>
        <v>604</v>
      </c>
      <c r="C635" s="42" t="s">
        <v>762</v>
      </c>
      <c r="D635" s="16" t="s">
        <v>762</v>
      </c>
      <c r="E635" s="26" t="s">
        <v>1186</v>
      </c>
      <c r="F635" s="208" t="s">
        <v>2606</v>
      </c>
      <c r="G635" s="68" t="s">
        <v>2607</v>
      </c>
      <c r="H635" s="68"/>
      <c r="I635" s="58">
        <v>2</v>
      </c>
      <c r="J635" s="85" t="s">
        <v>1256</v>
      </c>
      <c r="K635" s="86"/>
      <c r="L635" s="87"/>
      <c r="M635" s="88"/>
      <c r="N635" s="44">
        <v>500</v>
      </c>
      <c r="O635" s="25" t="s">
        <v>1290</v>
      </c>
      <c r="P635" s="34"/>
    </row>
    <row r="636" spans="2:16" ht="27.75" customHeight="1">
      <c r="B636" s="25">
        <f t="shared" si="9"/>
        <v>605</v>
      </c>
      <c r="C636" s="42" t="s">
        <v>746</v>
      </c>
      <c r="D636" s="16" t="s">
        <v>746</v>
      </c>
      <c r="E636" s="26" t="s">
        <v>1185</v>
      </c>
      <c r="F636" s="211" t="s">
        <v>2608</v>
      </c>
      <c r="G636" s="63" t="s">
        <v>2609</v>
      </c>
      <c r="H636" s="63"/>
      <c r="I636" s="58">
        <v>2</v>
      </c>
      <c r="J636" s="85" t="s">
        <v>1256</v>
      </c>
      <c r="K636" s="86"/>
      <c r="L636" s="87"/>
      <c r="M636" s="88"/>
      <c r="N636" s="44">
        <v>500</v>
      </c>
      <c r="O636" s="25" t="s">
        <v>1290</v>
      </c>
      <c r="P636" s="34"/>
    </row>
    <row r="637" spans="2:16" ht="27.75" customHeight="1">
      <c r="B637" s="25">
        <f t="shared" si="9"/>
        <v>606</v>
      </c>
      <c r="C637" s="42" t="s">
        <v>249</v>
      </c>
      <c r="D637" s="16" t="s">
        <v>249</v>
      </c>
      <c r="E637" s="26" t="s">
        <v>1138</v>
      </c>
      <c r="F637" s="212" t="s">
        <v>2610</v>
      </c>
      <c r="G637" s="63" t="s">
        <v>2611</v>
      </c>
      <c r="H637" s="63"/>
      <c r="I637" s="58">
        <v>4</v>
      </c>
      <c r="J637" s="85" t="s">
        <v>1256</v>
      </c>
      <c r="K637" s="86"/>
      <c r="L637" s="87"/>
      <c r="M637" s="88"/>
      <c r="N637" s="44">
        <v>500</v>
      </c>
      <c r="O637" s="25" t="s">
        <v>1290</v>
      </c>
      <c r="P637" s="34"/>
    </row>
    <row r="638" spans="2:16" ht="27.75" customHeight="1">
      <c r="B638" s="25">
        <f t="shared" si="9"/>
        <v>607</v>
      </c>
      <c r="C638" s="42" t="s">
        <v>797</v>
      </c>
      <c r="D638" s="16" t="s">
        <v>797</v>
      </c>
      <c r="E638" s="26" t="e">
        <f>VLOOKUP(C638,#REF!,3,0)</f>
        <v>#REF!</v>
      </c>
      <c r="F638" s="208" t="s">
        <v>2612</v>
      </c>
      <c r="G638" s="68" t="s">
        <v>2613</v>
      </c>
      <c r="H638" s="68"/>
      <c r="I638" s="58">
        <v>2</v>
      </c>
      <c r="J638" s="85" t="s">
        <v>1256</v>
      </c>
      <c r="K638" s="86"/>
      <c r="L638" s="87"/>
      <c r="M638" s="88"/>
      <c r="N638" s="44">
        <v>500</v>
      </c>
      <c r="O638" s="25" t="s">
        <v>1290</v>
      </c>
      <c r="P638" s="34"/>
    </row>
    <row r="639" spans="2:16" ht="27.75" customHeight="1">
      <c r="B639" s="25">
        <f t="shared" si="9"/>
        <v>608</v>
      </c>
      <c r="C639" s="42" t="s">
        <v>798</v>
      </c>
      <c r="D639" s="16" t="s">
        <v>798</v>
      </c>
      <c r="E639" s="26" t="e">
        <f>VLOOKUP(C639,#REF!,3,0)</f>
        <v>#REF!</v>
      </c>
      <c r="F639" s="208" t="s">
        <v>2614</v>
      </c>
      <c r="G639" s="68" t="s">
        <v>2615</v>
      </c>
      <c r="H639" s="68"/>
      <c r="I639" s="58">
        <v>2</v>
      </c>
      <c r="J639" s="85" t="s">
        <v>1256</v>
      </c>
      <c r="K639" s="86"/>
      <c r="L639" s="87"/>
      <c r="M639" s="88"/>
      <c r="N639" s="44">
        <v>500</v>
      </c>
      <c r="O639" s="25" t="s">
        <v>1290</v>
      </c>
      <c r="P639" s="34"/>
    </row>
    <row r="640" spans="2:16" ht="27.75" customHeight="1">
      <c r="B640" s="25">
        <f t="shared" si="9"/>
        <v>609</v>
      </c>
      <c r="C640" s="42" t="s">
        <v>739</v>
      </c>
      <c r="D640" s="16" t="s">
        <v>739</v>
      </c>
      <c r="E640" s="26" t="s">
        <v>1183</v>
      </c>
      <c r="F640" s="212" t="s">
        <v>2606</v>
      </c>
      <c r="G640" s="63" t="s">
        <v>2607</v>
      </c>
      <c r="H640" s="63"/>
      <c r="I640" s="58">
        <v>2</v>
      </c>
      <c r="J640" s="85" t="s">
        <v>1256</v>
      </c>
      <c r="K640" s="86"/>
      <c r="L640" s="87"/>
      <c r="M640" s="88"/>
      <c r="N640" s="44">
        <v>500</v>
      </c>
      <c r="O640" s="25" t="s">
        <v>1290</v>
      </c>
      <c r="P640" s="34"/>
    </row>
    <row r="641" spans="2:16" ht="27.75" customHeight="1">
      <c r="B641" s="25">
        <f t="shared" si="9"/>
        <v>610</v>
      </c>
      <c r="C641" s="42" t="s">
        <v>740</v>
      </c>
      <c r="D641" s="16" t="s">
        <v>740</v>
      </c>
      <c r="E641" s="26" t="s">
        <v>1184</v>
      </c>
      <c r="F641" s="208" t="s">
        <v>2616</v>
      </c>
      <c r="G641" s="68" t="s">
        <v>2617</v>
      </c>
      <c r="H641" s="68"/>
      <c r="I641" s="58">
        <v>4</v>
      </c>
      <c r="J641" s="85" t="s">
        <v>1256</v>
      </c>
      <c r="K641" s="86"/>
      <c r="L641" s="87"/>
      <c r="M641" s="88"/>
      <c r="N641" s="44">
        <v>500</v>
      </c>
      <c r="O641" s="25" t="s">
        <v>1290</v>
      </c>
      <c r="P641" s="34"/>
    </row>
    <row r="642" spans="2:16" ht="27.75" customHeight="1">
      <c r="B642" s="25">
        <f t="shared" si="9"/>
        <v>611</v>
      </c>
      <c r="C642" s="42" t="s">
        <v>718</v>
      </c>
      <c r="D642" s="16" t="s">
        <v>718</v>
      </c>
      <c r="E642" s="26" t="e">
        <f>VLOOKUP(C642,#REF!,3,0)</f>
        <v>#REF!</v>
      </c>
      <c r="F642" s="208" t="s">
        <v>2618</v>
      </c>
      <c r="G642" s="68" t="s">
        <v>2619</v>
      </c>
      <c r="H642" s="68"/>
      <c r="I642" s="58">
        <v>4</v>
      </c>
      <c r="J642" s="85" t="s">
        <v>1256</v>
      </c>
      <c r="K642" s="86"/>
      <c r="L642" s="87"/>
      <c r="M642" s="88"/>
      <c r="N642" s="44">
        <v>500</v>
      </c>
      <c r="O642" s="25" t="s">
        <v>1290</v>
      </c>
      <c r="P642" s="34"/>
    </row>
    <row r="643" spans="2:16" ht="27.75" customHeight="1">
      <c r="B643" s="25">
        <f t="shared" si="9"/>
        <v>612</v>
      </c>
      <c r="C643" s="42" t="s">
        <v>70</v>
      </c>
      <c r="D643" s="16" t="s">
        <v>70</v>
      </c>
      <c r="E643" s="26" t="e">
        <f>VLOOKUP(C643,#REF!,3,0)</f>
        <v>#REF!</v>
      </c>
      <c r="F643" s="208" t="s">
        <v>2620</v>
      </c>
      <c r="G643" s="68" t="s">
        <v>2621</v>
      </c>
      <c r="H643" s="68"/>
      <c r="I643" s="58">
        <v>2</v>
      </c>
      <c r="J643" s="85" t="s">
        <v>1256</v>
      </c>
      <c r="K643" s="86"/>
      <c r="L643" s="87"/>
      <c r="M643" s="88"/>
      <c r="N643" s="44">
        <v>500</v>
      </c>
      <c r="O643" s="25" t="s">
        <v>1290</v>
      </c>
      <c r="P643" s="34"/>
    </row>
    <row r="644" spans="2:16" ht="27.75" customHeight="1">
      <c r="B644" s="25">
        <f t="shared" si="9"/>
        <v>613</v>
      </c>
      <c r="C644" s="42" t="s">
        <v>71</v>
      </c>
      <c r="D644" s="16" t="s">
        <v>71</v>
      </c>
      <c r="E644" s="26" t="e">
        <f>VLOOKUP(C644,#REF!,3,0)</f>
        <v>#REF!</v>
      </c>
      <c r="F644" s="208" t="s">
        <v>2622</v>
      </c>
      <c r="G644" s="68" t="s">
        <v>2623</v>
      </c>
      <c r="H644" s="68"/>
      <c r="I644" s="58">
        <v>2</v>
      </c>
      <c r="J644" s="85" t="s">
        <v>1256</v>
      </c>
      <c r="K644" s="86"/>
      <c r="L644" s="87"/>
      <c r="M644" s="88"/>
      <c r="N644" s="44">
        <v>500</v>
      </c>
      <c r="O644" s="25" t="s">
        <v>1290</v>
      </c>
      <c r="P644" s="34"/>
    </row>
    <row r="645" spans="2:16" ht="27.75" customHeight="1">
      <c r="B645" s="25">
        <f t="shared" si="9"/>
        <v>614</v>
      </c>
      <c r="C645" s="42" t="s">
        <v>726</v>
      </c>
      <c r="D645" s="16" t="s">
        <v>726</v>
      </c>
      <c r="E645" s="26" t="s">
        <v>1181</v>
      </c>
      <c r="F645" s="208" t="s">
        <v>2624</v>
      </c>
      <c r="G645" s="68" t="s">
        <v>2625</v>
      </c>
      <c r="H645" s="68"/>
      <c r="I645" s="58">
        <v>4</v>
      </c>
      <c r="J645" s="85" t="s">
        <v>1256</v>
      </c>
      <c r="K645" s="86"/>
      <c r="L645" s="87"/>
      <c r="M645" s="88"/>
      <c r="N645" s="44">
        <v>500</v>
      </c>
      <c r="O645" s="25" t="s">
        <v>1290</v>
      </c>
      <c r="P645" s="34"/>
    </row>
    <row r="646" spans="2:16" ht="27.75" customHeight="1">
      <c r="B646" s="25">
        <f t="shared" si="9"/>
        <v>615</v>
      </c>
      <c r="C646" s="42" t="s">
        <v>810</v>
      </c>
      <c r="D646" s="16" t="s">
        <v>810</v>
      </c>
      <c r="E646" s="26" t="e">
        <f>VLOOKUP(C646,#REF!,3,0)</f>
        <v>#REF!</v>
      </c>
      <c r="F646" s="212" t="s">
        <v>2626</v>
      </c>
      <c r="G646" s="63" t="s">
        <v>2454</v>
      </c>
      <c r="H646" s="63"/>
      <c r="I646" s="58">
        <v>2</v>
      </c>
      <c r="J646" s="85" t="s">
        <v>1256</v>
      </c>
      <c r="K646" s="86"/>
      <c r="L646" s="87"/>
      <c r="M646" s="88"/>
      <c r="N646" s="44">
        <v>500</v>
      </c>
      <c r="O646" s="25" t="s">
        <v>1290</v>
      </c>
      <c r="P646" s="34"/>
    </row>
    <row r="647" spans="2:16" ht="27.75" customHeight="1">
      <c r="B647" s="25">
        <f t="shared" ref="B647:B710" si="10">B646+1</f>
        <v>616</v>
      </c>
      <c r="C647" s="42" t="s">
        <v>808</v>
      </c>
      <c r="D647" s="16" t="s">
        <v>810</v>
      </c>
      <c r="E647" s="26" t="e">
        <f>VLOOKUP(C647,#REF!,3,0)</f>
        <v>#REF!</v>
      </c>
      <c r="F647" s="212" t="s">
        <v>2626</v>
      </c>
      <c r="G647" s="63" t="s">
        <v>2454</v>
      </c>
      <c r="H647" s="63"/>
      <c r="I647" s="58">
        <v>2</v>
      </c>
      <c r="J647" s="85" t="s">
        <v>1256</v>
      </c>
      <c r="K647" s="86"/>
      <c r="L647" s="87"/>
      <c r="M647" s="88"/>
      <c r="N647" s="44"/>
      <c r="O647" s="25" t="s">
        <v>1290</v>
      </c>
      <c r="P647" s="34"/>
    </row>
    <row r="648" spans="2:16" ht="27.75" customHeight="1">
      <c r="B648" s="25">
        <f t="shared" si="10"/>
        <v>617</v>
      </c>
      <c r="C648" s="42" t="s">
        <v>807</v>
      </c>
      <c r="D648" s="16" t="s">
        <v>807</v>
      </c>
      <c r="E648" s="26" t="e">
        <f>VLOOKUP(C648,#REF!,3,0)</f>
        <v>#REF!</v>
      </c>
      <c r="F648" s="208" t="s">
        <v>2627</v>
      </c>
      <c r="G648" s="68" t="s">
        <v>2628</v>
      </c>
      <c r="H648" s="68"/>
      <c r="I648" s="58">
        <v>2</v>
      </c>
      <c r="J648" s="85" t="s">
        <v>1256</v>
      </c>
      <c r="K648" s="86"/>
      <c r="L648" s="87"/>
      <c r="M648" s="88"/>
      <c r="N648" s="44">
        <v>500</v>
      </c>
      <c r="O648" s="25" t="s">
        <v>1290</v>
      </c>
      <c r="P648" s="34"/>
    </row>
    <row r="649" spans="2:16" ht="27.75" customHeight="1">
      <c r="B649" s="25">
        <f t="shared" si="10"/>
        <v>618</v>
      </c>
      <c r="C649" s="42" t="s">
        <v>806</v>
      </c>
      <c r="D649" s="16" t="s">
        <v>807</v>
      </c>
      <c r="E649" s="26" t="e">
        <f>VLOOKUP(C649,#REF!,3,0)</f>
        <v>#REF!</v>
      </c>
      <c r="F649" s="208" t="s">
        <v>2627</v>
      </c>
      <c r="G649" s="68" t="s">
        <v>2628</v>
      </c>
      <c r="H649" s="68"/>
      <c r="I649" s="58">
        <v>2</v>
      </c>
      <c r="J649" s="85" t="s">
        <v>1256</v>
      </c>
      <c r="K649" s="86"/>
      <c r="L649" s="87"/>
      <c r="M649" s="88"/>
      <c r="N649" s="44"/>
      <c r="O649" s="25" t="s">
        <v>1290</v>
      </c>
      <c r="P649" s="34"/>
    </row>
    <row r="650" spans="2:16" ht="27.75" customHeight="1">
      <c r="B650" s="25">
        <f t="shared" si="10"/>
        <v>619</v>
      </c>
      <c r="C650" s="42" t="s">
        <v>813</v>
      </c>
      <c r="D650" s="16" t="s">
        <v>813</v>
      </c>
      <c r="E650" s="26" t="s">
        <v>1193</v>
      </c>
      <c r="F650" s="208" t="s">
        <v>2629</v>
      </c>
      <c r="G650" s="68" t="s">
        <v>2630</v>
      </c>
      <c r="H650" s="68"/>
      <c r="I650" s="58">
        <v>2</v>
      </c>
      <c r="J650" s="85" t="s">
        <v>1256</v>
      </c>
      <c r="K650" s="86"/>
      <c r="L650" s="87"/>
      <c r="M650" s="88"/>
      <c r="N650" s="44">
        <v>500</v>
      </c>
      <c r="O650" s="25" t="s">
        <v>1290</v>
      </c>
      <c r="P650" s="34"/>
    </row>
    <row r="651" spans="2:16" ht="27.75" customHeight="1">
      <c r="B651" s="25">
        <f t="shared" si="10"/>
        <v>620</v>
      </c>
      <c r="C651" s="42" t="s">
        <v>812</v>
      </c>
      <c r="D651" s="16" t="s">
        <v>813</v>
      </c>
      <c r="E651" s="26" t="e">
        <f>VLOOKUP(C651,#REF!,3,0)</f>
        <v>#REF!</v>
      </c>
      <c r="F651" s="208" t="s">
        <v>2629</v>
      </c>
      <c r="G651" s="68" t="s">
        <v>2630</v>
      </c>
      <c r="H651" s="68"/>
      <c r="I651" s="58">
        <v>2</v>
      </c>
      <c r="J651" s="85" t="s">
        <v>1256</v>
      </c>
      <c r="K651" s="86"/>
      <c r="L651" s="87"/>
      <c r="M651" s="88"/>
      <c r="N651" s="44"/>
      <c r="O651" s="25"/>
      <c r="P651" s="34"/>
    </row>
    <row r="652" spans="2:16" ht="27.75" customHeight="1">
      <c r="B652" s="25">
        <f t="shared" si="10"/>
        <v>621</v>
      </c>
      <c r="C652" s="42" t="s">
        <v>255</v>
      </c>
      <c r="D652" s="16" t="s">
        <v>255</v>
      </c>
      <c r="E652" s="26" t="e">
        <f>VLOOKUP(C652,#REF!,3,0)</f>
        <v>#REF!</v>
      </c>
      <c r="F652" s="211" t="s">
        <v>3589</v>
      </c>
      <c r="G652" s="63" t="s">
        <v>2578</v>
      </c>
      <c r="H652" s="63"/>
      <c r="I652" s="58">
        <v>2</v>
      </c>
      <c r="J652" s="85" t="s">
        <v>1256</v>
      </c>
      <c r="K652" s="86"/>
      <c r="L652" s="87"/>
      <c r="M652" s="88"/>
      <c r="N652" s="44">
        <v>500</v>
      </c>
      <c r="O652" s="25" t="s">
        <v>1290</v>
      </c>
      <c r="P652" s="34"/>
    </row>
    <row r="653" spans="2:16" ht="27.75" customHeight="1">
      <c r="B653" s="25">
        <f t="shared" si="10"/>
        <v>622</v>
      </c>
      <c r="C653" s="42" t="s">
        <v>717</v>
      </c>
      <c r="D653" s="16" t="s">
        <v>717</v>
      </c>
      <c r="E653" s="26" t="e">
        <f>VLOOKUP(C653,#REF!,3,0)</f>
        <v>#REF!</v>
      </c>
      <c r="F653" s="212" t="s">
        <v>2631</v>
      </c>
      <c r="G653" s="63" t="s">
        <v>2632</v>
      </c>
      <c r="H653" s="63"/>
      <c r="I653" s="58">
        <v>4</v>
      </c>
      <c r="J653" s="85" t="s">
        <v>1256</v>
      </c>
      <c r="K653" s="86"/>
      <c r="L653" s="87"/>
      <c r="M653" s="88"/>
      <c r="N653" s="44">
        <v>500</v>
      </c>
      <c r="O653" s="25" t="s">
        <v>1290</v>
      </c>
      <c r="P653" s="34"/>
    </row>
    <row r="654" spans="2:16" ht="27.75" customHeight="1">
      <c r="B654" s="25">
        <f t="shared" si="10"/>
        <v>623</v>
      </c>
      <c r="C654" s="42" t="s">
        <v>395</v>
      </c>
      <c r="D654" s="16" t="s">
        <v>395</v>
      </c>
      <c r="E654" s="26" t="s">
        <v>1143</v>
      </c>
      <c r="F654" s="212" t="s">
        <v>2633</v>
      </c>
      <c r="G654" s="63" t="s">
        <v>2634</v>
      </c>
      <c r="H654" s="63"/>
      <c r="I654" s="58">
        <v>4</v>
      </c>
      <c r="J654" s="85" t="s">
        <v>1256</v>
      </c>
      <c r="K654" s="86"/>
      <c r="L654" s="87"/>
      <c r="M654" s="88"/>
      <c r="N654" s="44">
        <v>500</v>
      </c>
      <c r="O654" s="25" t="s">
        <v>1290</v>
      </c>
      <c r="P654" s="34"/>
    </row>
    <row r="655" spans="2:16" ht="27.75" customHeight="1">
      <c r="B655" s="25">
        <f t="shared" si="10"/>
        <v>624</v>
      </c>
      <c r="C655" s="42" t="s">
        <v>397</v>
      </c>
      <c r="D655" s="16" t="s">
        <v>397</v>
      </c>
      <c r="E655" s="26" t="s">
        <v>1144</v>
      </c>
      <c r="F655" s="212" t="s">
        <v>2635</v>
      </c>
      <c r="G655" s="63" t="s">
        <v>2636</v>
      </c>
      <c r="H655" s="63"/>
      <c r="I655" s="58">
        <v>4</v>
      </c>
      <c r="J655" s="85" t="s">
        <v>1256</v>
      </c>
      <c r="K655" s="86"/>
      <c r="L655" s="87"/>
      <c r="M655" s="88"/>
      <c r="N655" s="44">
        <v>500</v>
      </c>
      <c r="O655" s="25" t="s">
        <v>1290</v>
      </c>
      <c r="P655" s="34"/>
    </row>
    <row r="656" spans="2:16" ht="27.75" customHeight="1">
      <c r="B656" s="25">
        <f t="shared" si="10"/>
        <v>625</v>
      </c>
      <c r="C656" s="42" t="s">
        <v>568</v>
      </c>
      <c r="D656" s="16" t="s">
        <v>568</v>
      </c>
      <c r="E656" s="26" t="s">
        <v>1177</v>
      </c>
      <c r="F656" s="212" t="s">
        <v>2637</v>
      </c>
      <c r="G656" s="63" t="s">
        <v>2638</v>
      </c>
      <c r="H656" s="63"/>
      <c r="I656" s="58">
        <v>2</v>
      </c>
      <c r="J656" s="85" t="s">
        <v>1256</v>
      </c>
      <c r="K656" s="86"/>
      <c r="L656" s="87"/>
      <c r="M656" s="88"/>
      <c r="N656" s="44">
        <v>500</v>
      </c>
      <c r="O656" s="25" t="s">
        <v>1290</v>
      </c>
      <c r="P656" s="34"/>
    </row>
    <row r="657" spans="2:16" ht="27.75" customHeight="1">
      <c r="B657" s="25">
        <f t="shared" si="10"/>
        <v>626</v>
      </c>
      <c r="C657" s="42" t="s">
        <v>569</v>
      </c>
      <c r="D657" s="16" t="s">
        <v>569</v>
      </c>
      <c r="E657" s="26" t="s">
        <v>1178</v>
      </c>
      <c r="F657" s="212" t="s">
        <v>2639</v>
      </c>
      <c r="G657" s="63" t="s">
        <v>2640</v>
      </c>
      <c r="H657" s="63"/>
      <c r="I657" s="58">
        <v>4</v>
      </c>
      <c r="J657" s="85" t="s">
        <v>1256</v>
      </c>
      <c r="K657" s="86"/>
      <c r="L657" s="87"/>
      <c r="M657" s="88"/>
      <c r="N657" s="44">
        <v>500</v>
      </c>
      <c r="O657" s="25" t="s">
        <v>1290</v>
      </c>
      <c r="P657" s="34"/>
    </row>
    <row r="658" spans="2:16" ht="27.75" customHeight="1">
      <c r="B658" s="25">
        <f t="shared" si="10"/>
        <v>627</v>
      </c>
      <c r="C658" s="42" t="s">
        <v>669</v>
      </c>
      <c r="D658" s="16" t="s">
        <v>669</v>
      </c>
      <c r="E658" s="26" t="s">
        <v>1179</v>
      </c>
      <c r="F658" s="212" t="s">
        <v>2641</v>
      </c>
      <c r="G658" s="63" t="s">
        <v>2642</v>
      </c>
      <c r="H658" s="63"/>
      <c r="I658" s="58">
        <v>2</v>
      </c>
      <c r="J658" s="85" t="s">
        <v>1256</v>
      </c>
      <c r="K658" s="86"/>
      <c r="L658" s="87"/>
      <c r="M658" s="88"/>
      <c r="N658" s="44">
        <v>500</v>
      </c>
      <c r="O658" s="25" t="s">
        <v>1290</v>
      </c>
      <c r="P658" s="34"/>
    </row>
    <row r="659" spans="2:16" ht="27.75" customHeight="1">
      <c r="B659" s="25">
        <f t="shared" si="10"/>
        <v>628</v>
      </c>
      <c r="C659" s="42" t="s">
        <v>668</v>
      </c>
      <c r="D659" s="16" t="s">
        <v>669</v>
      </c>
      <c r="E659" s="26" t="e">
        <f>VLOOKUP(C659,#REF!,3,0)</f>
        <v>#REF!</v>
      </c>
      <c r="F659" s="212" t="s">
        <v>2641</v>
      </c>
      <c r="G659" s="63" t="s">
        <v>2642</v>
      </c>
      <c r="H659" s="63"/>
      <c r="I659" s="58">
        <v>2</v>
      </c>
      <c r="J659" s="85" t="s">
        <v>1256</v>
      </c>
      <c r="K659" s="86"/>
      <c r="L659" s="87"/>
      <c r="M659" s="88"/>
      <c r="N659" s="44"/>
      <c r="O659" s="25"/>
      <c r="P659" s="34"/>
    </row>
    <row r="660" spans="2:16" ht="27.75" customHeight="1">
      <c r="B660" s="25">
        <f t="shared" si="10"/>
        <v>629</v>
      </c>
      <c r="C660" s="42" t="s">
        <v>192</v>
      </c>
      <c r="D660" s="16" t="s">
        <v>192</v>
      </c>
      <c r="E660" s="26" t="s">
        <v>1134</v>
      </c>
      <c r="F660" s="212" t="s">
        <v>2643</v>
      </c>
      <c r="G660" s="63" t="s">
        <v>2644</v>
      </c>
      <c r="H660" s="63"/>
      <c r="I660" s="58">
        <v>2</v>
      </c>
      <c r="J660" s="85" t="s">
        <v>1256</v>
      </c>
      <c r="K660" s="86"/>
      <c r="L660" s="87"/>
      <c r="M660" s="88"/>
      <c r="N660" s="44">
        <v>500</v>
      </c>
      <c r="O660" s="25" t="s">
        <v>1290</v>
      </c>
      <c r="P660" s="34"/>
    </row>
    <row r="661" spans="2:16" ht="27.75" customHeight="1">
      <c r="B661" s="25">
        <f t="shared" si="10"/>
        <v>630</v>
      </c>
      <c r="C661" s="42" t="s">
        <v>327</v>
      </c>
      <c r="D661" s="16" t="s">
        <v>327</v>
      </c>
      <c r="E661" s="26" t="s">
        <v>1139</v>
      </c>
      <c r="F661" s="212" t="s">
        <v>2645</v>
      </c>
      <c r="G661" s="63" t="s">
        <v>2646</v>
      </c>
      <c r="H661" s="63"/>
      <c r="I661" s="58">
        <v>1</v>
      </c>
      <c r="J661" s="85" t="s">
        <v>1256</v>
      </c>
      <c r="K661" s="86"/>
      <c r="L661" s="87"/>
      <c r="M661" s="88"/>
      <c r="N661" s="44">
        <v>500</v>
      </c>
      <c r="O661" s="25" t="s">
        <v>1290</v>
      </c>
      <c r="P661" s="34"/>
    </row>
    <row r="662" spans="2:16" ht="27.75" customHeight="1">
      <c r="B662" s="25">
        <f t="shared" si="10"/>
        <v>631</v>
      </c>
      <c r="C662" s="42" t="s">
        <v>935</v>
      </c>
      <c r="D662" s="16" t="s">
        <v>935</v>
      </c>
      <c r="E662" s="26" t="e">
        <f>VLOOKUP(C662,#REF!,3,0)</f>
        <v>#REF!</v>
      </c>
      <c r="F662" s="212" t="s">
        <v>2647</v>
      </c>
      <c r="G662" s="63" t="s">
        <v>2648</v>
      </c>
      <c r="H662" s="63" t="s">
        <v>1215</v>
      </c>
      <c r="I662" s="58">
        <v>2</v>
      </c>
      <c r="J662" s="85" t="s">
        <v>1256</v>
      </c>
      <c r="K662" s="86"/>
      <c r="L662" s="87"/>
      <c r="M662" s="88"/>
      <c r="N662" s="44">
        <v>500</v>
      </c>
      <c r="O662" s="25" t="s">
        <v>1290</v>
      </c>
      <c r="P662" s="34"/>
    </row>
    <row r="663" spans="2:16" ht="27.75" customHeight="1">
      <c r="B663" s="25">
        <f t="shared" si="10"/>
        <v>632</v>
      </c>
      <c r="C663" s="42" t="s">
        <v>934</v>
      </c>
      <c r="D663" s="16" t="s">
        <v>935</v>
      </c>
      <c r="E663" s="26" t="e">
        <f>VLOOKUP(C663,#REF!,3,0)</f>
        <v>#REF!</v>
      </c>
      <c r="F663" s="212" t="s">
        <v>2649</v>
      </c>
      <c r="G663" s="63" t="s">
        <v>2650</v>
      </c>
      <c r="H663" s="63" t="s">
        <v>1215</v>
      </c>
      <c r="I663" s="58">
        <v>2</v>
      </c>
      <c r="J663" s="85" t="s">
        <v>1256</v>
      </c>
      <c r="K663" s="86"/>
      <c r="L663" s="87"/>
      <c r="M663" s="88"/>
      <c r="N663" s="44">
        <v>500</v>
      </c>
      <c r="O663" s="25" t="s">
        <v>1290</v>
      </c>
      <c r="P663" s="34"/>
    </row>
    <row r="664" spans="2:16" ht="27.75" customHeight="1">
      <c r="B664" s="25">
        <f t="shared" si="10"/>
        <v>633</v>
      </c>
      <c r="C664" s="42" t="s">
        <v>1102</v>
      </c>
      <c r="D664" s="16" t="s">
        <v>1102</v>
      </c>
      <c r="E664" s="26" t="e">
        <f>VLOOKUP(C664,#REF!,3,0)</f>
        <v>#REF!</v>
      </c>
      <c r="F664" s="212" t="s">
        <v>2651</v>
      </c>
      <c r="G664" s="63" t="s">
        <v>2652</v>
      </c>
      <c r="H664" s="63"/>
      <c r="I664" s="58">
        <v>1</v>
      </c>
      <c r="J664" s="85" t="s">
        <v>1256</v>
      </c>
      <c r="K664" s="86"/>
      <c r="L664" s="87"/>
      <c r="M664" s="88"/>
      <c r="N664" s="44">
        <v>500</v>
      </c>
      <c r="O664" s="25" t="s">
        <v>1290</v>
      </c>
      <c r="P664" s="34"/>
    </row>
    <row r="665" spans="2:16" ht="27.75" customHeight="1">
      <c r="B665" s="25">
        <f t="shared" si="10"/>
        <v>634</v>
      </c>
      <c r="C665" s="42" t="s">
        <v>243</v>
      </c>
      <c r="D665" s="16" t="s">
        <v>243</v>
      </c>
      <c r="E665" s="26" t="e">
        <f>VLOOKUP(C665,#REF!,3,0)</f>
        <v>#REF!</v>
      </c>
      <c r="F665" s="212" t="s">
        <v>2653</v>
      </c>
      <c r="G665" s="63" t="s">
        <v>2654</v>
      </c>
      <c r="H665" s="63" t="s">
        <v>1215</v>
      </c>
      <c r="I665" s="58">
        <v>2</v>
      </c>
      <c r="J665" s="85" t="s">
        <v>1256</v>
      </c>
      <c r="K665" s="86"/>
      <c r="L665" s="87"/>
      <c r="M665" s="88"/>
      <c r="N665" s="44">
        <v>500</v>
      </c>
      <c r="O665" s="25" t="s">
        <v>1290</v>
      </c>
      <c r="P665" s="34"/>
    </row>
    <row r="666" spans="2:16" ht="27.75" customHeight="1">
      <c r="B666" s="25">
        <f t="shared" si="10"/>
        <v>635</v>
      </c>
      <c r="C666" s="42" t="s">
        <v>704</v>
      </c>
      <c r="D666" s="16" t="s">
        <v>704</v>
      </c>
      <c r="E666" s="26" t="e">
        <f>VLOOKUP(C666,#REF!,3,0)</f>
        <v>#REF!</v>
      </c>
      <c r="F666" s="212" t="s">
        <v>2655</v>
      </c>
      <c r="G666" s="63" t="s">
        <v>2656</v>
      </c>
      <c r="H666" s="63" t="s">
        <v>1215</v>
      </c>
      <c r="I666" s="89">
        <v>2</v>
      </c>
      <c r="J666" s="85" t="s">
        <v>1256</v>
      </c>
      <c r="K666" s="86"/>
      <c r="L666" s="87"/>
      <c r="M666" s="88"/>
      <c r="N666" s="44">
        <v>500</v>
      </c>
      <c r="O666" s="25" t="s">
        <v>1290</v>
      </c>
      <c r="P666" s="34"/>
    </row>
    <row r="667" spans="2:16" ht="27.75" customHeight="1">
      <c r="B667" s="25">
        <f t="shared" si="10"/>
        <v>636</v>
      </c>
      <c r="C667" s="42" t="s">
        <v>758</v>
      </c>
      <c r="D667" s="16" t="s">
        <v>758</v>
      </c>
      <c r="E667" s="26" t="e">
        <f>VLOOKUP(C667,#REF!,3,0)</f>
        <v>#REF!</v>
      </c>
      <c r="F667" s="212" t="s">
        <v>2657</v>
      </c>
      <c r="G667" s="63" t="s">
        <v>2658</v>
      </c>
      <c r="H667" s="63" t="s">
        <v>1215</v>
      </c>
      <c r="I667" s="58">
        <v>1</v>
      </c>
      <c r="J667" s="85" t="s">
        <v>1256</v>
      </c>
      <c r="K667" s="86"/>
      <c r="L667" s="87"/>
      <c r="M667" s="88"/>
      <c r="N667" s="44">
        <v>500</v>
      </c>
      <c r="O667" s="25" t="s">
        <v>1290</v>
      </c>
      <c r="P667" s="34"/>
    </row>
    <row r="668" spans="2:16" ht="27.75" customHeight="1">
      <c r="B668" s="25">
        <f t="shared" si="10"/>
        <v>637</v>
      </c>
      <c r="C668" s="42" t="s">
        <v>757</v>
      </c>
      <c r="D668" s="16" t="s">
        <v>758</v>
      </c>
      <c r="E668" s="26" t="e">
        <f>VLOOKUP(C668,#REF!,3,0)</f>
        <v>#REF!</v>
      </c>
      <c r="F668" s="212" t="s">
        <v>2659</v>
      </c>
      <c r="G668" s="63" t="s">
        <v>2660</v>
      </c>
      <c r="H668" s="63" t="s">
        <v>1215</v>
      </c>
      <c r="I668" s="58">
        <v>1</v>
      </c>
      <c r="J668" s="85" t="s">
        <v>1256</v>
      </c>
      <c r="K668" s="86"/>
      <c r="L668" s="87"/>
      <c r="M668" s="88"/>
      <c r="N668" s="44">
        <v>500</v>
      </c>
      <c r="O668" s="25" t="s">
        <v>1290</v>
      </c>
      <c r="P668" s="34"/>
    </row>
    <row r="669" spans="2:16" ht="27.75" customHeight="1">
      <c r="B669" s="25">
        <f t="shared" si="10"/>
        <v>638</v>
      </c>
      <c r="C669" s="42" t="s">
        <v>663</v>
      </c>
      <c r="D669" s="16" t="s">
        <v>663</v>
      </c>
      <c r="E669" s="26" t="e">
        <f>VLOOKUP(C669,#REF!,3,0)</f>
        <v>#REF!</v>
      </c>
      <c r="F669" s="212" t="s">
        <v>2661</v>
      </c>
      <c r="G669" s="63" t="s">
        <v>2662</v>
      </c>
      <c r="H669" s="63" t="s">
        <v>1215</v>
      </c>
      <c r="I669" s="58">
        <v>2</v>
      </c>
      <c r="J669" s="85" t="s">
        <v>1256</v>
      </c>
      <c r="K669" s="86"/>
      <c r="L669" s="87"/>
      <c r="M669" s="88"/>
      <c r="N669" s="44">
        <v>500</v>
      </c>
      <c r="O669" s="25" t="s">
        <v>1290</v>
      </c>
      <c r="P669" s="34"/>
    </row>
    <row r="670" spans="2:16" ht="27.75" customHeight="1">
      <c r="B670" s="25">
        <f t="shared" si="10"/>
        <v>639</v>
      </c>
      <c r="C670" s="42" t="s">
        <v>661</v>
      </c>
      <c r="D670" s="16" t="s">
        <v>663</v>
      </c>
      <c r="E670" s="26" t="e">
        <f>VLOOKUP(C670,#REF!,3,0)</f>
        <v>#REF!</v>
      </c>
      <c r="F670" s="212" t="s">
        <v>2663</v>
      </c>
      <c r="G670" s="63" t="s">
        <v>2664</v>
      </c>
      <c r="H670" s="63" t="s">
        <v>1215</v>
      </c>
      <c r="I670" s="58">
        <v>2</v>
      </c>
      <c r="J670" s="85" t="s">
        <v>1256</v>
      </c>
      <c r="K670" s="86"/>
      <c r="L670" s="87"/>
      <c r="M670" s="88"/>
      <c r="N670" s="44">
        <v>500</v>
      </c>
      <c r="O670" s="25" t="s">
        <v>1290</v>
      </c>
      <c r="P670" s="34"/>
    </row>
    <row r="671" spans="2:16" ht="27.75" customHeight="1">
      <c r="B671" s="25">
        <f t="shared" si="10"/>
        <v>640</v>
      </c>
      <c r="C671" s="42" t="s">
        <v>82</v>
      </c>
      <c r="D671" s="16" t="s">
        <v>82</v>
      </c>
      <c r="E671" s="26" t="s">
        <v>1124</v>
      </c>
      <c r="F671" s="212" t="s">
        <v>2665</v>
      </c>
      <c r="G671" s="63" t="s">
        <v>2666</v>
      </c>
      <c r="H671" s="63"/>
      <c r="I671" s="58">
        <v>2</v>
      </c>
      <c r="J671" s="85" t="s">
        <v>1256</v>
      </c>
      <c r="K671" s="86"/>
      <c r="L671" s="87"/>
      <c r="M671" s="88"/>
      <c r="N671" s="44">
        <v>500</v>
      </c>
      <c r="O671" s="25" t="s">
        <v>1290</v>
      </c>
      <c r="P671" s="34"/>
    </row>
    <row r="672" spans="2:16" ht="27.75" customHeight="1">
      <c r="B672" s="25">
        <f t="shared" si="10"/>
        <v>641</v>
      </c>
      <c r="C672" s="42" t="s">
        <v>83</v>
      </c>
      <c r="D672" s="16" t="s">
        <v>83</v>
      </c>
      <c r="E672" s="26" t="s">
        <v>1125</v>
      </c>
      <c r="F672" s="208" t="s">
        <v>2626</v>
      </c>
      <c r="G672" s="68" t="s">
        <v>2667</v>
      </c>
      <c r="H672" s="68"/>
      <c r="I672" s="58">
        <v>2</v>
      </c>
      <c r="J672" s="85" t="s">
        <v>1256</v>
      </c>
      <c r="K672" s="86"/>
      <c r="L672" s="87"/>
      <c r="M672" s="88"/>
      <c r="N672" s="44">
        <v>500</v>
      </c>
      <c r="O672" s="25" t="s">
        <v>1290</v>
      </c>
      <c r="P672" s="34"/>
    </row>
    <row r="673" spans="2:16" ht="27.75" customHeight="1">
      <c r="B673" s="25">
        <f t="shared" si="10"/>
        <v>642</v>
      </c>
      <c r="C673" s="42" t="s">
        <v>84</v>
      </c>
      <c r="D673" s="16" t="s">
        <v>84</v>
      </c>
      <c r="E673" s="26" t="s">
        <v>1126</v>
      </c>
      <c r="F673" s="208" t="s">
        <v>2668</v>
      </c>
      <c r="G673" s="68" t="s">
        <v>2669</v>
      </c>
      <c r="H673" s="68"/>
      <c r="I673" s="58">
        <v>2</v>
      </c>
      <c r="J673" s="85" t="s">
        <v>1256</v>
      </c>
      <c r="K673" s="86"/>
      <c r="L673" s="87"/>
      <c r="M673" s="88"/>
      <c r="N673" s="44">
        <v>500</v>
      </c>
      <c r="O673" s="25" t="s">
        <v>1290</v>
      </c>
      <c r="P673" s="34"/>
    </row>
    <row r="674" spans="2:16" ht="27.75" customHeight="1">
      <c r="B674" s="25">
        <f t="shared" si="10"/>
        <v>643</v>
      </c>
      <c r="C674" s="42" t="s">
        <v>672</v>
      </c>
      <c r="D674" s="16" t="s">
        <v>672</v>
      </c>
      <c r="E674" s="26" t="s">
        <v>1180</v>
      </c>
      <c r="F674" s="208" t="s">
        <v>2670</v>
      </c>
      <c r="G674" s="68" t="s">
        <v>2671</v>
      </c>
      <c r="H674" s="68"/>
      <c r="I674" s="58">
        <v>2</v>
      </c>
      <c r="J674" s="85" t="s">
        <v>1256</v>
      </c>
      <c r="K674" s="86"/>
      <c r="L674" s="87"/>
      <c r="M674" s="88"/>
      <c r="N674" s="44">
        <v>500</v>
      </c>
      <c r="O674" s="25" t="s">
        <v>1542</v>
      </c>
      <c r="P674" s="34"/>
    </row>
    <row r="675" spans="2:16" ht="27.75" customHeight="1">
      <c r="B675" s="25">
        <f t="shared" si="10"/>
        <v>644</v>
      </c>
      <c r="C675" s="42" t="s">
        <v>671</v>
      </c>
      <c r="D675" s="16" t="s">
        <v>672</v>
      </c>
      <c r="E675" s="26" t="e">
        <f>VLOOKUP(C675,#REF!,3,0)</f>
        <v>#REF!</v>
      </c>
      <c r="F675" s="208"/>
      <c r="G675" s="68"/>
      <c r="H675" s="68"/>
      <c r="I675" s="58"/>
      <c r="J675" s="85"/>
      <c r="K675" s="86"/>
      <c r="L675" s="87"/>
      <c r="M675" s="88"/>
      <c r="N675" s="44"/>
      <c r="O675" s="25"/>
      <c r="P675" s="34"/>
    </row>
    <row r="676" spans="2:16" ht="27.75" customHeight="1">
      <c r="B676" s="25">
        <f t="shared" si="10"/>
        <v>645</v>
      </c>
      <c r="C676" s="42" t="s">
        <v>35</v>
      </c>
      <c r="D676" s="16" t="s">
        <v>35</v>
      </c>
      <c r="E676" s="26" t="e">
        <f>VLOOKUP(C676,#REF!,3,0)</f>
        <v>#REF!</v>
      </c>
      <c r="F676" s="212" t="s">
        <v>2672</v>
      </c>
      <c r="G676" s="63" t="s">
        <v>2673</v>
      </c>
      <c r="H676" s="63"/>
      <c r="I676" s="58">
        <v>1</v>
      </c>
      <c r="J676" s="85" t="s">
        <v>1256</v>
      </c>
      <c r="K676" s="86"/>
      <c r="L676" s="87"/>
      <c r="M676" s="88"/>
      <c r="N676" s="44">
        <v>500</v>
      </c>
      <c r="O676" s="25" t="s">
        <v>1542</v>
      </c>
      <c r="P676" s="34"/>
    </row>
    <row r="677" spans="2:16" ht="27.75" customHeight="1">
      <c r="B677" s="25">
        <f t="shared" si="10"/>
        <v>646</v>
      </c>
      <c r="C677" s="42" t="s">
        <v>326</v>
      </c>
      <c r="D677" s="16" t="s">
        <v>326</v>
      </c>
      <c r="E677" s="26" t="e">
        <f>VLOOKUP(C677,#REF!,3,0)</f>
        <v>#REF!</v>
      </c>
      <c r="F677" s="212" t="s">
        <v>2674</v>
      </c>
      <c r="G677" s="63" t="s">
        <v>2675</v>
      </c>
      <c r="H677" s="63"/>
      <c r="I677" s="58">
        <v>1</v>
      </c>
      <c r="J677" s="85" t="s">
        <v>1256</v>
      </c>
      <c r="K677" s="86"/>
      <c r="L677" s="87"/>
      <c r="M677" s="88"/>
      <c r="N677" s="44">
        <v>500</v>
      </c>
      <c r="O677" s="25" t="s">
        <v>1542</v>
      </c>
      <c r="P677" s="34"/>
    </row>
    <row r="678" spans="2:16" ht="27.75" customHeight="1">
      <c r="B678" s="25">
        <f t="shared" si="10"/>
        <v>647</v>
      </c>
      <c r="C678" s="42" t="s">
        <v>110</v>
      </c>
      <c r="D678" s="16" t="s">
        <v>110</v>
      </c>
      <c r="E678" s="26" t="s">
        <v>1128</v>
      </c>
      <c r="F678" s="208" t="s">
        <v>2676</v>
      </c>
      <c r="G678" s="68" t="s">
        <v>2677</v>
      </c>
      <c r="H678" s="68"/>
      <c r="I678" s="58">
        <v>2</v>
      </c>
      <c r="J678" s="85" t="s">
        <v>1256</v>
      </c>
      <c r="K678" s="86"/>
      <c r="L678" s="87"/>
      <c r="M678" s="88"/>
      <c r="N678" s="44">
        <v>500</v>
      </c>
      <c r="O678" s="25" t="s">
        <v>1290</v>
      </c>
      <c r="P678" s="34"/>
    </row>
    <row r="679" spans="2:16" ht="27.75" customHeight="1">
      <c r="B679" s="25">
        <f t="shared" si="10"/>
        <v>648</v>
      </c>
      <c r="C679" s="42" t="s">
        <v>730</v>
      </c>
      <c r="D679" s="16" t="s">
        <v>730</v>
      </c>
      <c r="E679" s="26" t="s">
        <v>1182</v>
      </c>
      <c r="F679" s="212" t="s">
        <v>2678</v>
      </c>
      <c r="G679" s="63" t="s">
        <v>2679</v>
      </c>
      <c r="H679" s="63"/>
      <c r="I679" s="58">
        <v>4</v>
      </c>
      <c r="J679" s="85" t="s">
        <v>1256</v>
      </c>
      <c r="K679" s="86"/>
      <c r="L679" s="87"/>
      <c r="M679" s="88"/>
      <c r="N679" s="44">
        <v>500</v>
      </c>
      <c r="O679" s="25" t="s">
        <v>1290</v>
      </c>
      <c r="P679" s="34"/>
    </row>
    <row r="680" spans="2:16" ht="27.75" customHeight="1">
      <c r="B680" s="25">
        <f t="shared" si="10"/>
        <v>649</v>
      </c>
      <c r="C680" s="42" t="s">
        <v>1101</v>
      </c>
      <c r="D680" s="16" t="s">
        <v>1101</v>
      </c>
      <c r="E680" s="26" t="e">
        <f>VLOOKUP(C680,#REF!,3,0)</f>
        <v>#REF!</v>
      </c>
      <c r="F680" s="212" t="s">
        <v>2680</v>
      </c>
      <c r="G680" s="63" t="s">
        <v>2681</v>
      </c>
      <c r="H680" s="63"/>
      <c r="I680" s="58">
        <v>1</v>
      </c>
      <c r="J680" s="85" t="s">
        <v>1256</v>
      </c>
      <c r="K680" s="86"/>
      <c r="L680" s="87"/>
      <c r="M680" s="88"/>
      <c r="N680" s="44">
        <v>500</v>
      </c>
      <c r="O680" s="25" t="s">
        <v>1290</v>
      </c>
      <c r="P680" s="34"/>
    </row>
    <row r="681" spans="2:16" ht="27.75" customHeight="1">
      <c r="B681" s="25">
        <f t="shared" si="10"/>
        <v>650</v>
      </c>
      <c r="C681" s="42" t="s">
        <v>242</v>
      </c>
      <c r="D681" s="16" t="s">
        <v>242</v>
      </c>
      <c r="E681" s="26" t="e">
        <f>VLOOKUP(C681,#REF!,3,0)</f>
        <v>#REF!</v>
      </c>
      <c r="F681" s="212" t="s">
        <v>2682</v>
      </c>
      <c r="G681" s="63" t="s">
        <v>2683</v>
      </c>
      <c r="H681" s="63"/>
      <c r="I681" s="58">
        <v>1</v>
      </c>
      <c r="J681" s="85" t="s">
        <v>1256</v>
      </c>
      <c r="K681" s="86"/>
      <c r="L681" s="87"/>
      <c r="M681" s="88"/>
      <c r="N681" s="44">
        <v>500</v>
      </c>
      <c r="O681" s="25" t="s">
        <v>1290</v>
      </c>
      <c r="P681" s="34"/>
    </row>
    <row r="682" spans="2:16" ht="28.15" customHeight="1">
      <c r="B682" s="25">
        <f t="shared" si="10"/>
        <v>651</v>
      </c>
      <c r="C682" s="42" t="s">
        <v>703</v>
      </c>
      <c r="D682" s="16" t="s">
        <v>703</v>
      </c>
      <c r="E682" s="26" t="e">
        <f>VLOOKUP(C682,#REF!,3,0)</f>
        <v>#REF!</v>
      </c>
      <c r="F682" s="212" t="s">
        <v>2684</v>
      </c>
      <c r="G682" s="63" t="s">
        <v>2685</v>
      </c>
      <c r="H682" s="63"/>
      <c r="I682" s="58">
        <v>2</v>
      </c>
      <c r="J682" s="85" t="s">
        <v>1256</v>
      </c>
      <c r="K682" s="86"/>
      <c r="L682" s="87"/>
      <c r="M682" s="88"/>
      <c r="N682" s="44">
        <v>500</v>
      </c>
      <c r="O682" s="25" t="s">
        <v>1290</v>
      </c>
      <c r="P682" s="34"/>
    </row>
    <row r="683" spans="2:16" ht="27.75" customHeight="1">
      <c r="B683" s="25">
        <f t="shared" si="10"/>
        <v>652</v>
      </c>
      <c r="C683" s="42" t="s">
        <v>112</v>
      </c>
      <c r="D683" s="16" t="s">
        <v>112</v>
      </c>
      <c r="E683" s="26" t="e">
        <f>VLOOKUP(C683,#REF!,3,0)</f>
        <v>#REF!</v>
      </c>
      <c r="F683" s="205" t="s">
        <v>2686</v>
      </c>
      <c r="G683" s="25" t="s">
        <v>2687</v>
      </c>
      <c r="H683" s="25"/>
      <c r="I683" s="90">
        <v>4</v>
      </c>
      <c r="J683" s="85" t="s">
        <v>1256</v>
      </c>
      <c r="K683" s="72"/>
      <c r="L683" s="73"/>
      <c r="M683" s="74"/>
      <c r="N683" s="44">
        <v>500</v>
      </c>
      <c r="O683" s="25" t="s">
        <v>1360</v>
      </c>
      <c r="P683" s="34"/>
    </row>
    <row r="684" spans="2:16" ht="27.75" customHeight="1">
      <c r="B684" s="25">
        <f t="shared" si="10"/>
        <v>653</v>
      </c>
      <c r="C684" s="42" t="s">
        <v>430</v>
      </c>
      <c r="D684" s="16" t="s">
        <v>430</v>
      </c>
      <c r="E684" s="26" t="e">
        <f>VLOOKUP(C684,#REF!,3,0)</f>
        <v>#REF!</v>
      </c>
      <c r="F684" s="208" t="s">
        <v>2688</v>
      </c>
      <c r="G684" s="68" t="s">
        <v>2689</v>
      </c>
      <c r="H684" s="68"/>
      <c r="I684" s="90">
        <v>4</v>
      </c>
      <c r="J684" s="71" t="s">
        <v>1256</v>
      </c>
      <c r="K684" s="72"/>
      <c r="L684" s="73"/>
      <c r="M684" s="74"/>
      <c r="N684" s="44">
        <v>500</v>
      </c>
      <c r="O684" s="25" t="s">
        <v>1360</v>
      </c>
      <c r="P684" s="34"/>
    </row>
    <row r="685" spans="2:16" ht="27.75" customHeight="1">
      <c r="B685" s="25">
        <f t="shared" si="10"/>
        <v>654</v>
      </c>
      <c r="C685" s="42" t="s">
        <v>653</v>
      </c>
      <c r="D685" s="16" t="s">
        <v>653</v>
      </c>
      <c r="E685" s="26" t="e">
        <f>VLOOKUP(C685,#REF!,3,0)</f>
        <v>#REF!</v>
      </c>
      <c r="F685" s="208" t="s">
        <v>2690</v>
      </c>
      <c r="G685" s="68" t="s">
        <v>2691</v>
      </c>
      <c r="H685" s="68"/>
      <c r="I685" s="90">
        <v>4</v>
      </c>
      <c r="J685" s="71" t="s">
        <v>1256</v>
      </c>
      <c r="K685" s="72"/>
      <c r="L685" s="73"/>
      <c r="M685" s="74"/>
      <c r="N685" s="44">
        <v>500</v>
      </c>
      <c r="O685" s="25" t="s">
        <v>1360</v>
      </c>
      <c r="P685" s="34"/>
    </row>
    <row r="686" spans="2:16" ht="27.75" customHeight="1">
      <c r="B686" s="25">
        <f t="shared" si="10"/>
        <v>655</v>
      </c>
      <c r="C686" s="42" t="s">
        <v>579</v>
      </c>
      <c r="D686" s="16" t="s">
        <v>579</v>
      </c>
      <c r="E686" s="26" t="e">
        <f>VLOOKUP(C686,#REF!,3,0)</f>
        <v>#REF!</v>
      </c>
      <c r="F686" s="208" t="s">
        <v>2692</v>
      </c>
      <c r="G686" s="68" t="s">
        <v>2693</v>
      </c>
      <c r="H686" s="68"/>
      <c r="I686" s="90">
        <v>4</v>
      </c>
      <c r="J686" s="71" t="s">
        <v>1256</v>
      </c>
      <c r="K686" s="72"/>
      <c r="L686" s="73"/>
      <c r="M686" s="74"/>
      <c r="N686" s="44">
        <v>500</v>
      </c>
      <c r="O686" s="25" t="s">
        <v>1360</v>
      </c>
      <c r="P686" s="34"/>
    </row>
    <row r="687" spans="2:16" ht="27.75" customHeight="1">
      <c r="B687" s="25">
        <f t="shared" si="10"/>
        <v>656</v>
      </c>
      <c r="C687" s="42" t="s">
        <v>621</v>
      </c>
      <c r="D687" s="16" t="s">
        <v>621</v>
      </c>
      <c r="E687" s="26" t="e">
        <f>VLOOKUP(C687,#REF!,3,0)</f>
        <v>#REF!</v>
      </c>
      <c r="F687" s="208" t="s">
        <v>2694</v>
      </c>
      <c r="G687" s="68" t="s">
        <v>2695</v>
      </c>
      <c r="H687" s="68"/>
      <c r="I687" s="90">
        <v>4</v>
      </c>
      <c r="J687" s="71" t="s">
        <v>1256</v>
      </c>
      <c r="K687" s="72"/>
      <c r="L687" s="73"/>
      <c r="M687" s="74"/>
      <c r="N687" s="44">
        <v>500</v>
      </c>
      <c r="O687" s="25" t="s">
        <v>1360</v>
      </c>
      <c r="P687" s="34"/>
    </row>
    <row r="688" spans="2:16" ht="27.75" customHeight="1">
      <c r="B688" s="25">
        <f t="shared" si="10"/>
        <v>657</v>
      </c>
      <c r="C688" s="42" t="s">
        <v>655</v>
      </c>
      <c r="D688" s="16" t="s">
        <v>655</v>
      </c>
      <c r="E688" s="26" t="e">
        <f>VLOOKUP(C688,#REF!,3,0)</f>
        <v>#REF!</v>
      </c>
      <c r="F688" s="208" t="s">
        <v>2696</v>
      </c>
      <c r="G688" s="68" t="s">
        <v>2697</v>
      </c>
      <c r="H688" s="68"/>
      <c r="I688" s="90">
        <v>4</v>
      </c>
      <c r="J688" s="71" t="s">
        <v>1256</v>
      </c>
      <c r="K688" s="72"/>
      <c r="L688" s="73"/>
      <c r="M688" s="74"/>
      <c r="N688" s="44">
        <v>500</v>
      </c>
      <c r="O688" s="25" t="s">
        <v>1360</v>
      </c>
      <c r="P688" s="34"/>
    </row>
    <row r="689" spans="2:16" ht="27.75" customHeight="1">
      <c r="B689" s="25">
        <f t="shared" si="10"/>
        <v>658</v>
      </c>
      <c r="C689" s="42" t="s">
        <v>656</v>
      </c>
      <c r="D689" s="16" t="s">
        <v>656</v>
      </c>
      <c r="E689" s="26" t="e">
        <f>VLOOKUP(C689,#REF!,3,0)</f>
        <v>#REF!</v>
      </c>
      <c r="F689" s="208" t="s">
        <v>2698</v>
      </c>
      <c r="G689" s="68" t="s">
        <v>2699</v>
      </c>
      <c r="H689" s="68"/>
      <c r="I689" s="90">
        <v>4</v>
      </c>
      <c r="J689" s="71" t="s">
        <v>1256</v>
      </c>
      <c r="K689" s="72"/>
      <c r="L689" s="73"/>
      <c r="M689" s="74"/>
      <c r="N689" s="44">
        <v>500</v>
      </c>
      <c r="O689" s="25" t="s">
        <v>1360</v>
      </c>
      <c r="P689" s="34"/>
    </row>
    <row r="690" spans="2:16" ht="27.75" customHeight="1">
      <c r="B690" s="25">
        <f t="shared" si="10"/>
        <v>659</v>
      </c>
      <c r="C690" s="42" t="s">
        <v>567</v>
      </c>
      <c r="D690" s="16" t="s">
        <v>567</v>
      </c>
      <c r="E690" s="26" t="e">
        <f>VLOOKUP(C690,#REF!,3,0)</f>
        <v>#REF!</v>
      </c>
      <c r="F690" s="208" t="s">
        <v>2700</v>
      </c>
      <c r="G690" s="68" t="s">
        <v>2701</v>
      </c>
      <c r="H690" s="68"/>
      <c r="I690" s="90">
        <v>4</v>
      </c>
      <c r="J690" s="71" t="s">
        <v>1256</v>
      </c>
      <c r="K690" s="72"/>
      <c r="L690" s="73"/>
      <c r="M690" s="74"/>
      <c r="N690" s="44">
        <v>500</v>
      </c>
      <c r="O690" s="25" t="s">
        <v>1360</v>
      </c>
      <c r="P690" s="34" t="s">
        <v>2702</v>
      </c>
    </row>
    <row r="691" spans="2:16" ht="27.75" customHeight="1">
      <c r="B691" s="25">
        <f t="shared" si="10"/>
        <v>660</v>
      </c>
      <c r="C691" s="42" t="s">
        <v>620</v>
      </c>
      <c r="D691" s="16" t="s">
        <v>620</v>
      </c>
      <c r="E691" s="26" t="e">
        <f>VLOOKUP(C691,#REF!,3,0)</f>
        <v>#REF!</v>
      </c>
      <c r="F691" s="208" t="s">
        <v>2703</v>
      </c>
      <c r="G691" s="68" t="s">
        <v>2704</v>
      </c>
      <c r="H691" s="68"/>
      <c r="I691" s="90">
        <v>2</v>
      </c>
      <c r="J691" s="71" t="s">
        <v>1256</v>
      </c>
      <c r="K691" s="72"/>
      <c r="L691" s="73"/>
      <c r="M691" s="74"/>
      <c r="N691" s="44">
        <v>500</v>
      </c>
      <c r="O691" s="25" t="s">
        <v>1360</v>
      </c>
      <c r="P691" s="34"/>
    </row>
    <row r="692" spans="2:16" ht="27.75" customHeight="1">
      <c r="B692" s="25">
        <f t="shared" si="10"/>
        <v>661</v>
      </c>
      <c r="C692" s="42" t="s">
        <v>216</v>
      </c>
      <c r="D692" s="16" t="s">
        <v>216</v>
      </c>
      <c r="E692" s="26" t="e">
        <f>VLOOKUP(C692,#REF!,3,0)</f>
        <v>#REF!</v>
      </c>
      <c r="F692" s="212" t="s">
        <v>2705</v>
      </c>
      <c r="G692" s="63" t="s">
        <v>2706</v>
      </c>
      <c r="H692" s="63"/>
      <c r="I692" s="58">
        <v>4</v>
      </c>
      <c r="J692" s="71" t="s">
        <v>1256</v>
      </c>
      <c r="K692" s="86"/>
      <c r="L692" s="87"/>
      <c r="M692" s="88"/>
      <c r="N692" s="44">
        <v>500</v>
      </c>
      <c r="O692" s="25" t="s">
        <v>1360</v>
      </c>
      <c r="P692" s="34"/>
    </row>
    <row r="693" spans="2:16" ht="27.75" customHeight="1">
      <c r="B693" s="25">
        <f t="shared" si="10"/>
        <v>662</v>
      </c>
      <c r="C693" s="42" t="s">
        <v>690</v>
      </c>
      <c r="D693" s="16" t="s">
        <v>690</v>
      </c>
      <c r="E693" s="26" t="e">
        <f>VLOOKUP(C693,#REF!,3,0)</f>
        <v>#REF!</v>
      </c>
      <c r="F693" s="212" t="s">
        <v>2707</v>
      </c>
      <c r="G693" s="63" t="s">
        <v>2708</v>
      </c>
      <c r="H693" s="63" t="s">
        <v>1215</v>
      </c>
      <c r="I693" s="58">
        <v>2</v>
      </c>
      <c r="J693" s="71" t="s">
        <v>1256</v>
      </c>
      <c r="K693" s="86"/>
      <c r="L693" s="87"/>
      <c r="M693" s="88"/>
      <c r="N693" s="44">
        <v>500</v>
      </c>
      <c r="O693" s="25" t="s">
        <v>1360</v>
      </c>
      <c r="P693" s="34"/>
    </row>
    <row r="694" spans="2:16" ht="27.75" customHeight="1">
      <c r="B694" s="25">
        <f t="shared" si="10"/>
        <v>663</v>
      </c>
      <c r="C694" s="42" t="s">
        <v>691</v>
      </c>
      <c r="D694" s="16" t="s">
        <v>690</v>
      </c>
      <c r="E694" s="26" t="e">
        <f>VLOOKUP(C694,#REF!,3,0)</f>
        <v>#REF!</v>
      </c>
      <c r="F694" s="213" t="s">
        <v>2709</v>
      </c>
      <c r="G694" s="91" t="s">
        <v>2710</v>
      </c>
      <c r="H694" s="63" t="s">
        <v>1215</v>
      </c>
      <c r="I694" s="58">
        <v>2</v>
      </c>
      <c r="J694" s="71" t="s">
        <v>1256</v>
      </c>
      <c r="K694" s="86"/>
      <c r="L694" s="87"/>
      <c r="M694" s="88"/>
      <c r="N694" s="44">
        <v>500</v>
      </c>
      <c r="O694" s="25"/>
      <c r="P694" s="34"/>
    </row>
    <row r="695" spans="2:16" ht="27.75" customHeight="1">
      <c r="B695" s="25">
        <f t="shared" si="10"/>
        <v>664</v>
      </c>
      <c r="C695" s="42" t="s">
        <v>692</v>
      </c>
      <c r="D695" s="16" t="s">
        <v>692</v>
      </c>
      <c r="E695" s="26" t="e">
        <f>VLOOKUP(C695,#REF!,3,0)</f>
        <v>#REF!</v>
      </c>
      <c r="F695" s="212" t="s">
        <v>2711</v>
      </c>
      <c r="G695" s="63" t="s">
        <v>2712</v>
      </c>
      <c r="H695" s="63" t="s">
        <v>1215</v>
      </c>
      <c r="I695" s="58">
        <v>2</v>
      </c>
      <c r="J695" s="71" t="s">
        <v>1256</v>
      </c>
      <c r="K695" s="86"/>
      <c r="L695" s="87"/>
      <c r="M695" s="88"/>
      <c r="N695" s="44">
        <v>500</v>
      </c>
      <c r="O695" s="25" t="s">
        <v>1360</v>
      </c>
      <c r="P695" s="34"/>
    </row>
    <row r="696" spans="2:16" ht="27.75" customHeight="1">
      <c r="B696" s="25">
        <f t="shared" si="10"/>
        <v>665</v>
      </c>
      <c r="C696" s="42" t="s">
        <v>666</v>
      </c>
      <c r="D696" s="16" t="s">
        <v>692</v>
      </c>
      <c r="E696" s="26" t="e">
        <f>VLOOKUP(C696,#REF!,3,0)</f>
        <v>#REF!</v>
      </c>
      <c r="F696" s="213" t="s">
        <v>2713</v>
      </c>
      <c r="G696" s="91" t="s">
        <v>2714</v>
      </c>
      <c r="H696" s="63" t="s">
        <v>1215</v>
      </c>
      <c r="I696" s="58">
        <v>2</v>
      </c>
      <c r="J696" s="71" t="s">
        <v>1256</v>
      </c>
      <c r="K696" s="86"/>
      <c r="L696" s="87"/>
      <c r="M696" s="88"/>
      <c r="N696" s="44">
        <v>500</v>
      </c>
      <c r="O696" s="25"/>
      <c r="P696" s="34"/>
    </row>
    <row r="697" spans="2:16" ht="27.75" customHeight="1">
      <c r="B697" s="25">
        <f t="shared" si="10"/>
        <v>666</v>
      </c>
      <c r="C697" s="42" t="s">
        <v>610</v>
      </c>
      <c r="D697" s="16" t="s">
        <v>610</v>
      </c>
      <c r="E697" s="26" t="e">
        <f>VLOOKUP(C697,#REF!,3,0)</f>
        <v>#REF!</v>
      </c>
      <c r="F697" s="212" t="s">
        <v>2715</v>
      </c>
      <c r="G697" s="63" t="s">
        <v>2716</v>
      </c>
      <c r="H697" s="63"/>
      <c r="I697" s="58">
        <v>2</v>
      </c>
      <c r="J697" s="85" t="s">
        <v>1256</v>
      </c>
      <c r="K697" s="86"/>
      <c r="L697" s="87"/>
      <c r="M697" s="88"/>
      <c r="N697" s="44">
        <v>500</v>
      </c>
      <c r="O697" s="25" t="s">
        <v>1360</v>
      </c>
      <c r="P697" s="34" t="s">
        <v>2717</v>
      </c>
    </row>
    <row r="698" spans="2:16" ht="27.75" customHeight="1">
      <c r="B698" s="25">
        <f t="shared" si="10"/>
        <v>667</v>
      </c>
      <c r="C698" s="42" t="s">
        <v>354</v>
      </c>
      <c r="D698" s="16" t="s">
        <v>354</v>
      </c>
      <c r="E698" s="26" t="e">
        <f>VLOOKUP(C698,#REF!,3,0)</f>
        <v>#REF!</v>
      </c>
      <c r="F698" s="212" t="s">
        <v>2718</v>
      </c>
      <c r="G698" s="63" t="s">
        <v>2719</v>
      </c>
      <c r="H698" s="63"/>
      <c r="I698" s="58">
        <v>2</v>
      </c>
      <c r="J698" s="85" t="s">
        <v>1256</v>
      </c>
      <c r="K698" s="86"/>
      <c r="L698" s="87"/>
      <c r="M698" s="88"/>
      <c r="N698" s="44">
        <v>500</v>
      </c>
      <c r="O698" s="25" t="s">
        <v>1360</v>
      </c>
      <c r="P698" s="34" t="s">
        <v>2720</v>
      </c>
    </row>
    <row r="699" spans="2:16" ht="27.75" customHeight="1">
      <c r="B699" s="25">
        <f t="shared" si="10"/>
        <v>668</v>
      </c>
      <c r="C699" s="42" t="s">
        <v>1119</v>
      </c>
      <c r="D699" s="16" t="s">
        <v>1119</v>
      </c>
      <c r="E699" s="26" t="e">
        <f>VLOOKUP(C699,#REF!,3,0)</f>
        <v>#REF!</v>
      </c>
      <c r="F699" s="212" t="s">
        <v>2721</v>
      </c>
      <c r="G699" s="63" t="s">
        <v>2722</v>
      </c>
      <c r="H699" s="63"/>
      <c r="I699" s="58">
        <v>2</v>
      </c>
      <c r="J699" s="85" t="s">
        <v>1256</v>
      </c>
      <c r="K699" s="86"/>
      <c r="L699" s="87"/>
      <c r="M699" s="88"/>
      <c r="N699" s="44">
        <v>500</v>
      </c>
      <c r="O699" s="25" t="s">
        <v>1360</v>
      </c>
      <c r="P699" s="34"/>
    </row>
    <row r="700" spans="2:16" ht="27.75" customHeight="1">
      <c r="B700" s="25">
        <f t="shared" si="10"/>
        <v>669</v>
      </c>
      <c r="C700" s="42" t="s">
        <v>491</v>
      </c>
      <c r="D700" s="16" t="s">
        <v>491</v>
      </c>
      <c r="E700" s="26" t="e">
        <f>VLOOKUP(C700,#REF!,3,0)</f>
        <v>#REF!</v>
      </c>
      <c r="F700" s="212" t="s">
        <v>2723</v>
      </c>
      <c r="G700" s="25" t="s">
        <v>2724</v>
      </c>
      <c r="H700" s="25"/>
      <c r="I700" s="58">
        <v>2</v>
      </c>
      <c r="J700" s="85" t="s">
        <v>1256</v>
      </c>
      <c r="K700" s="86"/>
      <c r="L700" s="87"/>
      <c r="M700" s="88"/>
      <c r="N700" s="44">
        <v>500</v>
      </c>
      <c r="O700" s="25" t="s">
        <v>1360</v>
      </c>
      <c r="P700" s="34"/>
    </row>
    <row r="701" spans="2:16" ht="27.75" customHeight="1">
      <c r="B701" s="25">
        <f t="shared" si="10"/>
        <v>670</v>
      </c>
      <c r="C701" s="42" t="s">
        <v>493</v>
      </c>
      <c r="D701" s="16" t="s">
        <v>493</v>
      </c>
      <c r="E701" s="26" t="e">
        <f>VLOOKUP(C701,#REF!,3,0)</f>
        <v>#REF!</v>
      </c>
      <c r="F701" s="212" t="s">
        <v>2725</v>
      </c>
      <c r="G701" s="25" t="s">
        <v>2726</v>
      </c>
      <c r="H701" s="25"/>
      <c r="I701" s="58">
        <v>2</v>
      </c>
      <c r="J701" s="85" t="s">
        <v>1256</v>
      </c>
      <c r="K701" s="86"/>
      <c r="L701" s="87"/>
      <c r="M701" s="88"/>
      <c r="N701" s="44">
        <v>500</v>
      </c>
      <c r="O701" s="25" t="s">
        <v>1360</v>
      </c>
      <c r="P701" s="34"/>
    </row>
    <row r="702" spans="2:16" ht="27.75" customHeight="1">
      <c r="B702" s="25">
        <f t="shared" si="10"/>
        <v>671</v>
      </c>
      <c r="C702" s="42" t="s">
        <v>408</v>
      </c>
      <c r="D702" s="16" t="s">
        <v>408</v>
      </c>
      <c r="E702" s="26" t="e">
        <f>VLOOKUP(C702,#REF!,3,0)</f>
        <v>#REF!</v>
      </c>
      <c r="F702" s="212" t="s">
        <v>2727</v>
      </c>
      <c r="G702" s="25" t="s">
        <v>2728</v>
      </c>
      <c r="H702" s="25"/>
      <c r="I702" s="58">
        <v>2</v>
      </c>
      <c r="J702" s="85" t="s">
        <v>1256</v>
      </c>
      <c r="K702" s="86"/>
      <c r="L702" s="87"/>
      <c r="M702" s="88"/>
      <c r="N702" s="44">
        <v>500</v>
      </c>
      <c r="O702" s="25" t="s">
        <v>1360</v>
      </c>
      <c r="P702" s="34"/>
    </row>
    <row r="703" spans="2:16" ht="27.75" customHeight="1">
      <c r="B703" s="25">
        <f t="shared" si="10"/>
        <v>672</v>
      </c>
      <c r="C703" s="42" t="s">
        <v>411</v>
      </c>
      <c r="D703" s="16" t="s">
        <v>411</v>
      </c>
      <c r="E703" s="26" t="e">
        <f>VLOOKUP(C703,#REF!,3,0)</f>
        <v>#REF!</v>
      </c>
      <c r="F703" s="212" t="s">
        <v>2729</v>
      </c>
      <c r="G703" s="25" t="s">
        <v>2730</v>
      </c>
      <c r="H703" s="25"/>
      <c r="I703" s="58">
        <v>2</v>
      </c>
      <c r="J703" s="85" t="s">
        <v>1256</v>
      </c>
      <c r="K703" s="86"/>
      <c r="L703" s="87"/>
      <c r="M703" s="88"/>
      <c r="N703" s="44">
        <v>500</v>
      </c>
      <c r="O703" s="25" t="s">
        <v>1360</v>
      </c>
      <c r="P703" s="34"/>
    </row>
    <row r="704" spans="2:16" ht="27.75" customHeight="1">
      <c r="B704" s="25">
        <f t="shared" si="10"/>
        <v>673</v>
      </c>
      <c r="C704" s="42" t="s">
        <v>41</v>
      </c>
      <c r="D704" s="16" t="s">
        <v>41</v>
      </c>
      <c r="E704" s="26" t="e">
        <f>VLOOKUP(C704,#REF!,3,0)</f>
        <v>#REF!</v>
      </c>
      <c r="F704" s="212" t="s">
        <v>2731</v>
      </c>
      <c r="G704" s="25" t="s">
        <v>2732</v>
      </c>
      <c r="H704" s="25"/>
      <c r="I704" s="58">
        <v>2</v>
      </c>
      <c r="J704" s="85" t="s">
        <v>1256</v>
      </c>
      <c r="K704" s="86"/>
      <c r="L704" s="87"/>
      <c r="M704" s="88"/>
      <c r="N704" s="44">
        <v>500</v>
      </c>
      <c r="O704" s="25" t="s">
        <v>1360</v>
      </c>
      <c r="P704" s="34"/>
    </row>
    <row r="705" spans="2:16" ht="27.75" customHeight="1">
      <c r="B705" s="25">
        <f t="shared" si="10"/>
        <v>674</v>
      </c>
      <c r="C705" s="42" t="s">
        <v>415</v>
      </c>
      <c r="D705" s="16" t="s">
        <v>415</v>
      </c>
      <c r="E705" s="26" t="e">
        <f>VLOOKUP(C705,#REF!,3,0)</f>
        <v>#REF!</v>
      </c>
      <c r="F705" s="212" t="s">
        <v>2733</v>
      </c>
      <c r="G705" s="25" t="s">
        <v>2734</v>
      </c>
      <c r="H705" s="25"/>
      <c r="I705" s="58">
        <v>2</v>
      </c>
      <c r="J705" s="85" t="s">
        <v>1256</v>
      </c>
      <c r="K705" s="86"/>
      <c r="L705" s="87"/>
      <c r="M705" s="88"/>
      <c r="N705" s="44">
        <v>500</v>
      </c>
      <c r="O705" s="25" t="s">
        <v>1360</v>
      </c>
      <c r="P705" s="34"/>
    </row>
    <row r="706" spans="2:16" ht="27.75" customHeight="1">
      <c r="B706" s="25">
        <f t="shared" si="10"/>
        <v>675</v>
      </c>
      <c r="C706" s="42" t="s">
        <v>423</v>
      </c>
      <c r="D706" s="16" t="s">
        <v>423</v>
      </c>
      <c r="E706" s="26" t="e">
        <f>VLOOKUP(C706,#REF!,3,0)</f>
        <v>#REF!</v>
      </c>
      <c r="F706" s="212" t="s">
        <v>2735</v>
      </c>
      <c r="G706" s="25" t="s">
        <v>2736</v>
      </c>
      <c r="H706" s="25"/>
      <c r="I706" s="58">
        <v>2</v>
      </c>
      <c r="J706" s="85" t="s">
        <v>1256</v>
      </c>
      <c r="K706" s="86"/>
      <c r="L706" s="87"/>
      <c r="M706" s="88"/>
      <c r="N706" s="44">
        <v>500</v>
      </c>
      <c r="O706" s="25" t="s">
        <v>1360</v>
      </c>
      <c r="P706" s="34"/>
    </row>
    <row r="707" spans="2:16" ht="27.75" customHeight="1">
      <c r="B707" s="25">
        <f t="shared" si="10"/>
        <v>676</v>
      </c>
      <c r="C707" s="42" t="s">
        <v>421</v>
      </c>
      <c r="D707" s="16" t="s">
        <v>421</v>
      </c>
      <c r="E707" s="26" t="e">
        <f>VLOOKUP(C707,#REF!,3,0)</f>
        <v>#REF!</v>
      </c>
      <c r="F707" s="212" t="s">
        <v>2737</v>
      </c>
      <c r="G707" s="63" t="s">
        <v>2738</v>
      </c>
      <c r="H707" s="63"/>
      <c r="I707" s="58">
        <v>2</v>
      </c>
      <c r="J707" s="85" t="s">
        <v>1256</v>
      </c>
      <c r="K707" s="86"/>
      <c r="L707" s="87"/>
      <c r="M707" s="88"/>
      <c r="N707" s="44">
        <v>500</v>
      </c>
      <c r="O707" s="25" t="s">
        <v>1360</v>
      </c>
      <c r="P707" s="34"/>
    </row>
    <row r="708" spans="2:16" ht="27.75" customHeight="1">
      <c r="B708" s="25">
        <f t="shared" si="10"/>
        <v>677</v>
      </c>
      <c r="C708" s="42" t="s">
        <v>485</v>
      </c>
      <c r="D708" s="16" t="s">
        <v>485</v>
      </c>
      <c r="E708" s="26" t="e">
        <f>VLOOKUP(C708,#REF!,3,0)</f>
        <v>#REF!</v>
      </c>
      <c r="F708" s="212" t="s">
        <v>2739</v>
      </c>
      <c r="G708" s="25" t="s">
        <v>2740</v>
      </c>
      <c r="H708" s="25"/>
      <c r="I708" s="58">
        <v>2</v>
      </c>
      <c r="J708" s="85" t="s">
        <v>1256</v>
      </c>
      <c r="K708" s="86"/>
      <c r="L708" s="87"/>
      <c r="M708" s="88"/>
      <c r="N708" s="44">
        <v>500</v>
      </c>
      <c r="O708" s="25" t="s">
        <v>1360</v>
      </c>
      <c r="P708" s="34"/>
    </row>
    <row r="709" spans="2:16" ht="27.75" customHeight="1">
      <c r="B709" s="25">
        <f t="shared" si="10"/>
        <v>678</v>
      </c>
      <c r="C709" s="42" t="s">
        <v>487</v>
      </c>
      <c r="D709" s="16" t="s">
        <v>487</v>
      </c>
      <c r="E709" s="26" t="e">
        <f>VLOOKUP(C709,#REF!,3,0)</f>
        <v>#REF!</v>
      </c>
      <c r="F709" s="212" t="s">
        <v>2741</v>
      </c>
      <c r="G709" s="25" t="s">
        <v>2742</v>
      </c>
      <c r="H709" s="25"/>
      <c r="I709" s="58">
        <v>2</v>
      </c>
      <c r="J709" s="85" t="s">
        <v>1256</v>
      </c>
      <c r="K709" s="86"/>
      <c r="L709" s="87"/>
      <c r="M709" s="88"/>
      <c r="N709" s="44">
        <v>500</v>
      </c>
      <c r="O709" s="25" t="s">
        <v>1360</v>
      </c>
      <c r="P709" s="34"/>
    </row>
    <row r="710" spans="2:16" ht="27.75" customHeight="1">
      <c r="B710" s="25">
        <f t="shared" si="10"/>
        <v>679</v>
      </c>
      <c r="C710" s="42" t="s">
        <v>488</v>
      </c>
      <c r="D710" s="16" t="s">
        <v>488</v>
      </c>
      <c r="E710" s="26" t="e">
        <f>VLOOKUP(C710,#REF!,3,0)</f>
        <v>#REF!</v>
      </c>
      <c r="F710" s="212" t="s">
        <v>2743</v>
      </c>
      <c r="G710" s="25" t="s">
        <v>2744</v>
      </c>
      <c r="H710" s="25"/>
      <c r="I710" s="58">
        <v>2</v>
      </c>
      <c r="J710" s="85" t="s">
        <v>1256</v>
      </c>
      <c r="K710" s="86"/>
      <c r="L710" s="87"/>
      <c r="M710" s="88"/>
      <c r="N710" s="44">
        <v>500</v>
      </c>
      <c r="O710" s="25" t="s">
        <v>1360</v>
      </c>
      <c r="P710" s="34"/>
    </row>
    <row r="711" spans="2:16" ht="27.75" customHeight="1">
      <c r="B711" s="25">
        <f t="shared" ref="B711:B774" si="11">B710+1</f>
        <v>680</v>
      </c>
      <c r="C711" s="42" t="s">
        <v>433</v>
      </c>
      <c r="D711" s="16" t="s">
        <v>433</v>
      </c>
      <c r="E711" s="26" t="e">
        <f>VLOOKUP(C711,#REF!,3,0)</f>
        <v>#REF!</v>
      </c>
      <c r="F711" s="212" t="s">
        <v>2745</v>
      </c>
      <c r="G711" s="25" t="s">
        <v>2746</v>
      </c>
      <c r="H711" s="25"/>
      <c r="I711" s="58">
        <v>2</v>
      </c>
      <c r="J711" s="85" t="s">
        <v>1256</v>
      </c>
      <c r="K711" s="86"/>
      <c r="L711" s="87"/>
      <c r="M711" s="88"/>
      <c r="N711" s="44">
        <v>500</v>
      </c>
      <c r="O711" s="25" t="s">
        <v>1360</v>
      </c>
      <c r="P711" s="34"/>
    </row>
    <row r="712" spans="2:16" ht="27.75" customHeight="1">
      <c r="B712" s="25">
        <f t="shared" si="11"/>
        <v>681</v>
      </c>
      <c r="C712" s="42" t="s">
        <v>434</v>
      </c>
      <c r="D712" s="16" t="s">
        <v>434</v>
      </c>
      <c r="E712" s="26" t="e">
        <f>VLOOKUP(C712,#REF!,3,0)</f>
        <v>#REF!</v>
      </c>
      <c r="F712" s="212" t="s">
        <v>2747</v>
      </c>
      <c r="G712" s="25" t="s">
        <v>2748</v>
      </c>
      <c r="H712" s="25"/>
      <c r="I712" s="58">
        <v>2</v>
      </c>
      <c r="J712" s="85" t="s">
        <v>1256</v>
      </c>
      <c r="K712" s="86"/>
      <c r="L712" s="87"/>
      <c r="M712" s="88"/>
      <c r="N712" s="44">
        <v>500</v>
      </c>
      <c r="O712" s="25" t="s">
        <v>1360</v>
      </c>
      <c r="P712" s="34"/>
    </row>
    <row r="713" spans="2:16" ht="27.75" customHeight="1">
      <c r="B713" s="25">
        <f t="shared" si="11"/>
        <v>682</v>
      </c>
      <c r="C713" s="42" t="s">
        <v>582</v>
      </c>
      <c r="D713" s="16" t="s">
        <v>582</v>
      </c>
      <c r="E713" s="26" t="e">
        <f>VLOOKUP(C713,#REF!,3,0)</f>
        <v>#REF!</v>
      </c>
      <c r="F713" s="212" t="s">
        <v>2749</v>
      </c>
      <c r="G713" s="63" t="s">
        <v>2750</v>
      </c>
      <c r="H713" s="63"/>
      <c r="I713" s="58">
        <v>4</v>
      </c>
      <c r="J713" s="85" t="s">
        <v>1256</v>
      </c>
      <c r="K713" s="86"/>
      <c r="L713" s="87"/>
      <c r="M713" s="88"/>
      <c r="N713" s="44">
        <v>500</v>
      </c>
      <c r="O713" s="25" t="s">
        <v>1360</v>
      </c>
      <c r="P713" s="34"/>
    </row>
    <row r="714" spans="2:16" ht="27.75" customHeight="1">
      <c r="B714" s="25">
        <f t="shared" si="11"/>
        <v>683</v>
      </c>
      <c r="C714" s="42" t="s">
        <v>584</v>
      </c>
      <c r="D714" s="16" t="s">
        <v>584</v>
      </c>
      <c r="E714" s="26" t="e">
        <f>VLOOKUP(C714,#REF!,3,0)</f>
        <v>#REF!</v>
      </c>
      <c r="F714" s="212" t="s">
        <v>2751</v>
      </c>
      <c r="G714" s="63" t="s">
        <v>2752</v>
      </c>
      <c r="H714" s="63"/>
      <c r="I714" s="58">
        <v>4</v>
      </c>
      <c r="J714" s="85" t="s">
        <v>1256</v>
      </c>
      <c r="K714" s="86"/>
      <c r="L714" s="87"/>
      <c r="M714" s="88"/>
      <c r="N714" s="44">
        <v>500</v>
      </c>
      <c r="O714" s="25" t="s">
        <v>1360</v>
      </c>
      <c r="P714" s="34"/>
    </row>
    <row r="715" spans="2:16" ht="27.75" customHeight="1">
      <c r="B715" s="25">
        <f t="shared" si="11"/>
        <v>684</v>
      </c>
      <c r="C715" s="42" t="s">
        <v>585</v>
      </c>
      <c r="D715" s="16" t="s">
        <v>585</v>
      </c>
      <c r="E715" s="26" t="e">
        <f>VLOOKUP(C715,#REF!,3,0)</f>
        <v>#REF!</v>
      </c>
      <c r="F715" s="212" t="s">
        <v>2753</v>
      </c>
      <c r="G715" s="63" t="s">
        <v>2754</v>
      </c>
      <c r="H715" s="63"/>
      <c r="I715" s="58">
        <v>4</v>
      </c>
      <c r="J715" s="85" t="s">
        <v>1256</v>
      </c>
      <c r="K715" s="86"/>
      <c r="L715" s="87"/>
      <c r="M715" s="88"/>
      <c r="N715" s="44">
        <v>500</v>
      </c>
      <c r="O715" s="25" t="s">
        <v>1360</v>
      </c>
      <c r="P715" s="34"/>
    </row>
    <row r="716" spans="2:16" ht="27.75" customHeight="1">
      <c r="B716" s="25">
        <f t="shared" si="11"/>
        <v>685</v>
      </c>
      <c r="C716" s="42" t="s">
        <v>588</v>
      </c>
      <c r="D716" s="16" t="s">
        <v>588</v>
      </c>
      <c r="E716" s="26" t="e">
        <f>VLOOKUP(C716,#REF!,3,0)</f>
        <v>#REF!</v>
      </c>
      <c r="F716" s="212" t="s">
        <v>2755</v>
      </c>
      <c r="G716" s="63" t="s">
        <v>2756</v>
      </c>
      <c r="H716" s="63"/>
      <c r="I716" s="58">
        <v>4</v>
      </c>
      <c r="J716" s="85" t="s">
        <v>1256</v>
      </c>
      <c r="K716" s="86"/>
      <c r="L716" s="87"/>
      <c r="M716" s="88"/>
      <c r="N716" s="44">
        <v>500</v>
      </c>
      <c r="O716" s="25" t="s">
        <v>1360</v>
      </c>
      <c r="P716" s="34"/>
    </row>
    <row r="717" spans="2:16" ht="27.75" customHeight="1">
      <c r="B717" s="25">
        <f t="shared" si="11"/>
        <v>686</v>
      </c>
      <c r="C717" s="42" t="s">
        <v>589</v>
      </c>
      <c r="D717" s="16" t="s">
        <v>589</v>
      </c>
      <c r="E717" s="26" t="e">
        <f>VLOOKUP(C717,#REF!,3,0)</f>
        <v>#REF!</v>
      </c>
      <c r="F717" s="212" t="s">
        <v>2757</v>
      </c>
      <c r="G717" s="63" t="s">
        <v>2758</v>
      </c>
      <c r="H717" s="63"/>
      <c r="I717" s="58">
        <v>4</v>
      </c>
      <c r="J717" s="85" t="s">
        <v>1256</v>
      </c>
      <c r="K717" s="86"/>
      <c r="L717" s="87"/>
      <c r="M717" s="88"/>
      <c r="N717" s="44">
        <v>500</v>
      </c>
      <c r="O717" s="25" t="s">
        <v>1360</v>
      </c>
      <c r="P717" s="34"/>
    </row>
    <row r="718" spans="2:16" ht="27.75" customHeight="1">
      <c r="B718" s="25">
        <f t="shared" si="11"/>
        <v>687</v>
      </c>
      <c r="C718" s="42" t="s">
        <v>591</v>
      </c>
      <c r="D718" s="16" t="s">
        <v>591</v>
      </c>
      <c r="E718" s="26" t="e">
        <f>VLOOKUP(C718,#REF!,3,0)</f>
        <v>#REF!</v>
      </c>
      <c r="F718" s="212" t="s">
        <v>2759</v>
      </c>
      <c r="G718" s="63" t="s">
        <v>2760</v>
      </c>
      <c r="H718" s="63"/>
      <c r="I718" s="58">
        <v>4</v>
      </c>
      <c r="J718" s="85" t="s">
        <v>1256</v>
      </c>
      <c r="K718" s="86"/>
      <c r="L718" s="87"/>
      <c r="M718" s="88"/>
      <c r="N718" s="44">
        <v>500</v>
      </c>
      <c r="O718" s="25" t="s">
        <v>1360</v>
      </c>
      <c r="P718" s="34"/>
    </row>
    <row r="719" spans="2:16" ht="27.75" customHeight="1">
      <c r="B719" s="25">
        <f t="shared" si="11"/>
        <v>688</v>
      </c>
      <c r="C719" s="42" t="s">
        <v>135</v>
      </c>
      <c r="D719" s="16" t="s">
        <v>135</v>
      </c>
      <c r="E719" s="26" t="e">
        <f>VLOOKUP(C719,#REF!,3,0)</f>
        <v>#REF!</v>
      </c>
      <c r="F719" s="212" t="s">
        <v>2761</v>
      </c>
      <c r="G719" s="63" t="s">
        <v>2762</v>
      </c>
      <c r="H719" s="63"/>
      <c r="I719" s="58">
        <v>2</v>
      </c>
      <c r="J719" s="85" t="s">
        <v>1256</v>
      </c>
      <c r="K719" s="86"/>
      <c r="L719" s="87"/>
      <c r="M719" s="88"/>
      <c r="N719" s="44">
        <v>500</v>
      </c>
      <c r="O719" s="25" t="s">
        <v>1360</v>
      </c>
      <c r="P719" s="34" t="s">
        <v>2763</v>
      </c>
    </row>
    <row r="720" spans="2:16" ht="27.75" customHeight="1">
      <c r="B720" s="25">
        <f t="shared" si="11"/>
        <v>689</v>
      </c>
      <c r="C720" s="42" t="s">
        <v>615</v>
      </c>
      <c r="D720" s="16" t="s">
        <v>615</v>
      </c>
      <c r="E720" s="26" t="e">
        <f>VLOOKUP(C720,#REF!,3,0)</f>
        <v>#REF!</v>
      </c>
      <c r="F720" s="212" t="s">
        <v>2764</v>
      </c>
      <c r="G720" s="63" t="s">
        <v>2765</v>
      </c>
      <c r="H720" s="63"/>
      <c r="I720" s="58">
        <v>4</v>
      </c>
      <c r="J720" s="85" t="s">
        <v>1256</v>
      </c>
      <c r="K720" s="86"/>
      <c r="L720" s="87"/>
      <c r="M720" s="88"/>
      <c r="N720" s="44">
        <v>500</v>
      </c>
      <c r="O720" s="25" t="s">
        <v>1360</v>
      </c>
      <c r="P720" s="34"/>
    </row>
    <row r="721" spans="2:16" ht="27.75" customHeight="1">
      <c r="B721" s="25">
        <f t="shared" si="11"/>
        <v>690</v>
      </c>
      <c r="C721" s="42" t="s">
        <v>616</v>
      </c>
      <c r="D721" s="16" t="s">
        <v>616</v>
      </c>
      <c r="E721" s="26" t="e">
        <f>VLOOKUP(C721,#REF!,3,0)</f>
        <v>#REF!</v>
      </c>
      <c r="F721" s="212" t="s">
        <v>2766</v>
      </c>
      <c r="G721" s="63" t="s">
        <v>2767</v>
      </c>
      <c r="H721" s="63"/>
      <c r="I721" s="58">
        <v>4</v>
      </c>
      <c r="J721" s="85" t="s">
        <v>1256</v>
      </c>
      <c r="K721" s="86"/>
      <c r="L721" s="87"/>
      <c r="M721" s="88"/>
      <c r="N721" s="44">
        <v>500</v>
      </c>
      <c r="O721" s="25" t="s">
        <v>1360</v>
      </c>
      <c r="P721" s="34"/>
    </row>
    <row r="722" spans="2:16" ht="27.75" customHeight="1">
      <c r="B722" s="25">
        <f t="shared" si="11"/>
        <v>691</v>
      </c>
      <c r="C722" s="42" t="s">
        <v>1024</v>
      </c>
      <c r="D722" s="16" t="s">
        <v>1024</v>
      </c>
      <c r="E722" s="26" t="e">
        <f>VLOOKUP(C722,#REF!,3,0)</f>
        <v>#REF!</v>
      </c>
      <c r="F722" s="212" t="s">
        <v>2768</v>
      </c>
      <c r="G722" s="63" t="s">
        <v>2769</v>
      </c>
      <c r="H722" s="63" t="s">
        <v>1215</v>
      </c>
      <c r="I722" s="58">
        <v>4</v>
      </c>
      <c r="J722" s="85" t="s">
        <v>1256</v>
      </c>
      <c r="K722" s="86"/>
      <c r="L722" s="87"/>
      <c r="M722" s="88"/>
      <c r="N722" s="44">
        <v>500</v>
      </c>
      <c r="O722" s="25" t="s">
        <v>1360</v>
      </c>
      <c r="P722" s="34"/>
    </row>
    <row r="723" spans="2:16" ht="27.75" customHeight="1">
      <c r="B723" s="25">
        <f t="shared" si="11"/>
        <v>692</v>
      </c>
      <c r="C723" s="42" t="s">
        <v>1025</v>
      </c>
      <c r="D723" s="16" t="s">
        <v>1024</v>
      </c>
      <c r="E723" s="26" t="e">
        <f>VLOOKUP(C723,#REF!,3,0)</f>
        <v>#REF!</v>
      </c>
      <c r="F723" s="213" t="s">
        <v>2770</v>
      </c>
      <c r="G723" s="91" t="s">
        <v>2771</v>
      </c>
      <c r="H723" s="63" t="s">
        <v>1215</v>
      </c>
      <c r="I723" s="58">
        <v>4</v>
      </c>
      <c r="J723" s="85" t="s">
        <v>1256</v>
      </c>
      <c r="K723" s="86"/>
      <c r="L723" s="87"/>
      <c r="M723" s="88"/>
      <c r="N723" s="44"/>
      <c r="O723" s="25" t="s">
        <v>1360</v>
      </c>
      <c r="P723" s="34"/>
    </row>
    <row r="724" spans="2:16" ht="27.75" customHeight="1">
      <c r="B724" s="25">
        <f t="shared" si="11"/>
        <v>693</v>
      </c>
      <c r="C724" s="42" t="s">
        <v>1020</v>
      </c>
      <c r="D724" s="16" t="s">
        <v>1020</v>
      </c>
      <c r="E724" s="26" t="e">
        <f>VLOOKUP(C724,#REF!,3,0)</f>
        <v>#REF!</v>
      </c>
      <c r="F724" s="212" t="s">
        <v>2772</v>
      </c>
      <c r="G724" s="63" t="s">
        <v>2773</v>
      </c>
      <c r="H724" s="63" t="s">
        <v>1215</v>
      </c>
      <c r="I724" s="58">
        <v>8</v>
      </c>
      <c r="J724" s="85" t="s">
        <v>1256</v>
      </c>
      <c r="K724" s="86"/>
      <c r="L724" s="87"/>
      <c r="M724" s="88"/>
      <c r="N724" s="44">
        <v>500</v>
      </c>
      <c r="O724" s="25" t="s">
        <v>1360</v>
      </c>
      <c r="P724" s="34"/>
    </row>
    <row r="725" spans="2:16" ht="27.75" customHeight="1">
      <c r="B725" s="25">
        <f t="shared" si="11"/>
        <v>694</v>
      </c>
      <c r="C725" s="42" t="s">
        <v>1021</v>
      </c>
      <c r="D725" s="16" t="s">
        <v>1020</v>
      </c>
      <c r="E725" s="26" t="e">
        <f>VLOOKUP(C725,#REF!,3,0)</f>
        <v>#REF!</v>
      </c>
      <c r="F725" s="213" t="s">
        <v>2774</v>
      </c>
      <c r="G725" s="91" t="s">
        <v>2775</v>
      </c>
      <c r="H725" s="63" t="s">
        <v>1215</v>
      </c>
      <c r="I725" s="58">
        <v>8</v>
      </c>
      <c r="J725" s="85" t="s">
        <v>1256</v>
      </c>
      <c r="K725" s="86"/>
      <c r="L725" s="87"/>
      <c r="M725" s="88"/>
      <c r="N725" s="44"/>
      <c r="O725" s="25" t="s">
        <v>1360</v>
      </c>
      <c r="P725" s="34"/>
    </row>
    <row r="726" spans="2:16" ht="27.75" customHeight="1">
      <c r="B726" s="25">
        <f t="shared" si="11"/>
        <v>695</v>
      </c>
      <c r="C726" s="42" t="s">
        <v>650</v>
      </c>
      <c r="D726" s="16" t="s">
        <v>650</v>
      </c>
      <c r="E726" s="26" t="e">
        <f>VLOOKUP(C726,#REF!,3,0)</f>
        <v>#REF!</v>
      </c>
      <c r="F726" s="212" t="s">
        <v>2776</v>
      </c>
      <c r="G726" s="63" t="s">
        <v>2777</v>
      </c>
      <c r="H726" s="63"/>
      <c r="I726" s="58">
        <v>2</v>
      </c>
      <c r="J726" s="85" t="s">
        <v>1256</v>
      </c>
      <c r="K726" s="86"/>
      <c r="L726" s="87"/>
      <c r="M726" s="88"/>
      <c r="N726" s="44">
        <v>500</v>
      </c>
      <c r="O726" s="25" t="s">
        <v>1360</v>
      </c>
      <c r="P726" s="34"/>
    </row>
    <row r="727" spans="2:16" ht="27.75" customHeight="1">
      <c r="B727" s="25">
        <f t="shared" si="11"/>
        <v>696</v>
      </c>
      <c r="C727" s="42" t="s">
        <v>617</v>
      </c>
      <c r="D727" s="16" t="s">
        <v>617</v>
      </c>
      <c r="E727" s="26" t="e">
        <f>VLOOKUP(C727,#REF!,3,0)</f>
        <v>#REF!</v>
      </c>
      <c r="F727" s="212" t="s">
        <v>2778</v>
      </c>
      <c r="G727" s="63" t="s">
        <v>2779</v>
      </c>
      <c r="H727" s="63"/>
      <c r="I727" s="58">
        <v>2</v>
      </c>
      <c r="J727" s="85" t="s">
        <v>1256</v>
      </c>
      <c r="K727" s="86"/>
      <c r="L727" s="87"/>
      <c r="M727" s="88"/>
      <c r="N727" s="44">
        <v>500</v>
      </c>
      <c r="O727" s="25" t="s">
        <v>1360</v>
      </c>
      <c r="P727" s="34"/>
    </row>
    <row r="728" spans="2:16" ht="27.75" customHeight="1">
      <c r="B728" s="25">
        <f t="shared" si="11"/>
        <v>697</v>
      </c>
      <c r="C728" s="42" t="s">
        <v>618</v>
      </c>
      <c r="D728" s="16" t="s">
        <v>618</v>
      </c>
      <c r="E728" s="26" t="e">
        <f>VLOOKUP(C728,#REF!,3,0)</f>
        <v>#REF!</v>
      </c>
      <c r="F728" s="212" t="s">
        <v>2780</v>
      </c>
      <c r="G728" s="63" t="s">
        <v>2781</v>
      </c>
      <c r="H728" s="63"/>
      <c r="I728" s="58">
        <v>2</v>
      </c>
      <c r="J728" s="85" t="s">
        <v>1256</v>
      </c>
      <c r="K728" s="86"/>
      <c r="L728" s="87"/>
      <c r="M728" s="88"/>
      <c r="N728" s="44">
        <v>500</v>
      </c>
      <c r="O728" s="25" t="s">
        <v>1360</v>
      </c>
      <c r="P728" s="34"/>
    </row>
    <row r="729" spans="2:16" ht="27.75" customHeight="1">
      <c r="B729" s="25">
        <f t="shared" si="11"/>
        <v>698</v>
      </c>
      <c r="C729" s="42" t="s">
        <v>236</v>
      </c>
      <c r="D729" s="16" t="s">
        <v>236</v>
      </c>
      <c r="E729" s="26" t="e">
        <f>VLOOKUP(C729,#REF!,3,0)</f>
        <v>#REF!</v>
      </c>
      <c r="F729" s="212" t="s">
        <v>2782</v>
      </c>
      <c r="G729" s="63" t="s">
        <v>2783</v>
      </c>
      <c r="H729" s="63"/>
      <c r="I729" s="58">
        <v>2</v>
      </c>
      <c r="J729" s="85" t="s">
        <v>1256</v>
      </c>
      <c r="K729" s="86"/>
      <c r="L729" s="87"/>
      <c r="M729" s="88"/>
      <c r="N729" s="44">
        <v>500</v>
      </c>
      <c r="O729" s="25" t="s">
        <v>1360</v>
      </c>
      <c r="P729" s="34"/>
    </row>
    <row r="730" spans="2:16" ht="27.75" customHeight="1">
      <c r="B730" s="25">
        <f t="shared" si="11"/>
        <v>699</v>
      </c>
      <c r="C730" s="42" t="s">
        <v>132</v>
      </c>
      <c r="D730" s="16" t="s">
        <v>132</v>
      </c>
      <c r="E730" s="26" t="e">
        <f>VLOOKUP(C730,#REF!,3,0)</f>
        <v>#REF!</v>
      </c>
      <c r="F730" s="212" t="s">
        <v>2784</v>
      </c>
      <c r="G730" s="63" t="s">
        <v>2785</v>
      </c>
      <c r="H730" s="63"/>
      <c r="I730" s="58">
        <v>2</v>
      </c>
      <c r="J730" s="85" t="s">
        <v>1256</v>
      </c>
      <c r="K730" s="86"/>
      <c r="L730" s="87"/>
      <c r="M730" s="88"/>
      <c r="N730" s="44">
        <v>500</v>
      </c>
      <c r="O730" s="25" t="s">
        <v>2786</v>
      </c>
      <c r="P730" s="34"/>
    </row>
    <row r="731" spans="2:16" ht="27.75" customHeight="1">
      <c r="B731" s="25">
        <f t="shared" si="11"/>
        <v>700</v>
      </c>
      <c r="C731" s="42" t="s">
        <v>276</v>
      </c>
      <c r="D731" s="16" t="s">
        <v>276</v>
      </c>
      <c r="E731" s="26" t="e">
        <f>VLOOKUP(C731,#REF!,3,0)</f>
        <v>#REF!</v>
      </c>
      <c r="F731" s="212" t="s">
        <v>2787</v>
      </c>
      <c r="G731" s="63" t="s">
        <v>2788</v>
      </c>
      <c r="H731" s="63"/>
      <c r="I731" s="58">
        <v>2</v>
      </c>
      <c r="J731" s="85" t="s">
        <v>1256</v>
      </c>
      <c r="K731" s="86"/>
      <c r="L731" s="87"/>
      <c r="M731" s="88"/>
      <c r="N731" s="44">
        <v>500</v>
      </c>
      <c r="O731" s="25" t="s">
        <v>2786</v>
      </c>
      <c r="P731" s="34"/>
    </row>
    <row r="732" spans="2:16" ht="27.75" customHeight="1">
      <c r="B732" s="25">
        <f t="shared" si="11"/>
        <v>701</v>
      </c>
      <c r="C732" s="42" t="s">
        <v>409</v>
      </c>
      <c r="D732" s="16" t="s">
        <v>409</v>
      </c>
      <c r="E732" s="26" t="e">
        <f>VLOOKUP(C732,#REF!,3,0)</f>
        <v>#REF!</v>
      </c>
      <c r="F732" s="212" t="s">
        <v>2789</v>
      </c>
      <c r="G732" s="63" t="s">
        <v>2790</v>
      </c>
      <c r="H732" s="63"/>
      <c r="I732" s="58">
        <v>2</v>
      </c>
      <c r="J732" s="85" t="s">
        <v>1256</v>
      </c>
      <c r="K732" s="86"/>
      <c r="L732" s="87"/>
      <c r="M732" s="88"/>
      <c r="N732" s="44">
        <v>500</v>
      </c>
      <c r="O732" s="25" t="s">
        <v>1360</v>
      </c>
      <c r="P732" s="34" t="s">
        <v>2791</v>
      </c>
    </row>
    <row r="733" spans="2:16" ht="27.75" customHeight="1">
      <c r="B733" s="25">
        <f t="shared" si="11"/>
        <v>702</v>
      </c>
      <c r="C733" s="42" t="s">
        <v>1068</v>
      </c>
      <c r="D733" s="16" t="s">
        <v>1068</v>
      </c>
      <c r="E733" s="26" t="e">
        <f>VLOOKUP(C733,#REF!,3,0)</f>
        <v>#REF!</v>
      </c>
      <c r="F733" s="212" t="s">
        <v>2792</v>
      </c>
      <c r="G733" s="63" t="s">
        <v>2793</v>
      </c>
      <c r="H733" s="63"/>
      <c r="I733" s="58">
        <v>2</v>
      </c>
      <c r="J733" s="85" t="s">
        <v>1256</v>
      </c>
      <c r="K733" s="86"/>
      <c r="L733" s="87"/>
      <c r="M733" s="88"/>
      <c r="N733" s="44">
        <v>500</v>
      </c>
      <c r="O733" s="25" t="s">
        <v>1638</v>
      </c>
      <c r="P733" s="34"/>
    </row>
    <row r="734" spans="2:16" ht="27.75" customHeight="1">
      <c r="B734" s="25">
        <f t="shared" si="11"/>
        <v>703</v>
      </c>
      <c r="C734" s="42" t="s">
        <v>46</v>
      </c>
      <c r="D734" s="16" t="s">
        <v>46</v>
      </c>
      <c r="E734" s="26" t="e">
        <f>VLOOKUP(C734,#REF!,3,0)</f>
        <v>#REF!</v>
      </c>
      <c r="F734" s="212" t="s">
        <v>2794</v>
      </c>
      <c r="G734" s="63" t="s">
        <v>2795</v>
      </c>
      <c r="H734" s="63"/>
      <c r="I734" s="58">
        <v>2</v>
      </c>
      <c r="J734" s="85" t="s">
        <v>1256</v>
      </c>
      <c r="K734" s="86"/>
      <c r="L734" s="87"/>
      <c r="M734" s="88"/>
      <c r="N734" s="44">
        <v>500</v>
      </c>
      <c r="O734" s="25" t="s">
        <v>1360</v>
      </c>
      <c r="P734" s="34" t="s">
        <v>2796</v>
      </c>
    </row>
    <row r="735" spans="2:16" ht="27.75" customHeight="1">
      <c r="B735" s="25">
        <f t="shared" si="11"/>
        <v>704</v>
      </c>
      <c r="C735" s="42" t="s">
        <v>498</v>
      </c>
      <c r="D735" s="16" t="s">
        <v>498</v>
      </c>
      <c r="E735" s="26" t="e">
        <f>VLOOKUP(C735,#REF!,3,0)</f>
        <v>#REF!</v>
      </c>
      <c r="F735" s="212" t="s">
        <v>2797</v>
      </c>
      <c r="G735" s="63" t="s">
        <v>2798</v>
      </c>
      <c r="H735" s="63"/>
      <c r="I735" s="58">
        <v>2</v>
      </c>
      <c r="J735" s="85" t="s">
        <v>1256</v>
      </c>
      <c r="K735" s="86"/>
      <c r="L735" s="87"/>
      <c r="M735" s="88"/>
      <c r="N735" s="44">
        <v>500</v>
      </c>
      <c r="O735" s="25" t="s">
        <v>1360</v>
      </c>
      <c r="P735" s="34"/>
    </row>
    <row r="736" spans="2:16" ht="27.75" customHeight="1">
      <c r="B736" s="25">
        <f t="shared" si="11"/>
        <v>705</v>
      </c>
      <c r="C736" s="42" t="s">
        <v>484</v>
      </c>
      <c r="D736" s="16" t="s">
        <v>484</v>
      </c>
      <c r="E736" s="26" t="e">
        <f>VLOOKUP(C736,#REF!,3,0)</f>
        <v>#REF!</v>
      </c>
      <c r="F736" s="214" t="s">
        <v>2799</v>
      </c>
      <c r="G736" s="92" t="s">
        <v>2800</v>
      </c>
      <c r="H736" s="92"/>
      <c r="I736" s="58">
        <v>2</v>
      </c>
      <c r="J736" s="85" t="s">
        <v>1256</v>
      </c>
      <c r="K736" s="86"/>
      <c r="L736" s="87"/>
      <c r="M736" s="88"/>
      <c r="N736" s="44">
        <v>500</v>
      </c>
      <c r="O736" s="25" t="s">
        <v>1360</v>
      </c>
      <c r="P736" s="34"/>
    </row>
    <row r="737" spans="2:16" ht="27.75" customHeight="1">
      <c r="B737" s="25">
        <f t="shared" si="11"/>
        <v>706</v>
      </c>
      <c r="C737" s="42" t="s">
        <v>432</v>
      </c>
      <c r="D737" s="16" t="s">
        <v>432</v>
      </c>
      <c r="E737" s="26" t="e">
        <f>VLOOKUP(C737,#REF!,3,0)</f>
        <v>#REF!</v>
      </c>
      <c r="F737" s="214" t="s">
        <v>2801</v>
      </c>
      <c r="G737" s="92" t="s">
        <v>2802</v>
      </c>
      <c r="H737" s="92"/>
      <c r="I737" s="58">
        <v>2</v>
      </c>
      <c r="J737" s="85" t="s">
        <v>1256</v>
      </c>
      <c r="K737" s="86"/>
      <c r="L737" s="87"/>
      <c r="M737" s="88"/>
      <c r="N737" s="44">
        <v>500</v>
      </c>
      <c r="O737" s="25" t="s">
        <v>1360</v>
      </c>
      <c r="P737" s="34"/>
    </row>
    <row r="738" spans="2:16" ht="27.75" customHeight="1">
      <c r="B738" s="25">
        <f t="shared" si="11"/>
        <v>707</v>
      </c>
      <c r="C738" s="42" t="s">
        <v>1026</v>
      </c>
      <c r="D738" s="16" t="s">
        <v>1026</v>
      </c>
      <c r="E738" s="26" t="e">
        <f>VLOOKUP(C738,#REF!,3,0)</f>
        <v>#REF!</v>
      </c>
      <c r="F738" s="214" t="s">
        <v>2803</v>
      </c>
      <c r="G738" s="92" t="s">
        <v>2804</v>
      </c>
      <c r="H738" s="92"/>
      <c r="I738" s="58">
        <v>2</v>
      </c>
      <c r="J738" s="85" t="s">
        <v>1256</v>
      </c>
      <c r="K738" s="86"/>
      <c r="L738" s="87"/>
      <c r="M738" s="88"/>
      <c r="N738" s="44">
        <v>500</v>
      </c>
      <c r="O738" s="25" t="s">
        <v>2786</v>
      </c>
      <c r="P738" s="34"/>
    </row>
    <row r="739" spans="2:16" ht="27.75" customHeight="1">
      <c r="B739" s="25">
        <f t="shared" si="11"/>
        <v>708</v>
      </c>
      <c r="C739" s="42" t="s">
        <v>466</v>
      </c>
      <c r="D739" s="16" t="s">
        <v>466</v>
      </c>
      <c r="E739" s="26" t="e">
        <f>VLOOKUP(C739,#REF!,3,0)</f>
        <v>#REF!</v>
      </c>
      <c r="F739" s="212" t="s">
        <v>2805</v>
      </c>
      <c r="G739" s="63" t="s">
        <v>2806</v>
      </c>
      <c r="H739" s="63"/>
      <c r="I739" s="58">
        <v>4</v>
      </c>
      <c r="J739" s="85" t="s">
        <v>1256</v>
      </c>
      <c r="K739" s="86"/>
      <c r="L739" s="87"/>
      <c r="M739" s="88"/>
      <c r="N739" s="44">
        <v>500</v>
      </c>
      <c r="O739" s="93" t="s">
        <v>1360</v>
      </c>
      <c r="P739" s="34"/>
    </row>
    <row r="740" spans="2:16" ht="27.75" customHeight="1">
      <c r="B740" s="25">
        <f t="shared" si="11"/>
        <v>709</v>
      </c>
      <c r="C740" s="42" t="s">
        <v>468</v>
      </c>
      <c r="D740" s="16" t="s">
        <v>468</v>
      </c>
      <c r="E740" s="26" t="e">
        <f>VLOOKUP(C740,#REF!,3,0)</f>
        <v>#REF!</v>
      </c>
      <c r="F740" s="212" t="s">
        <v>2807</v>
      </c>
      <c r="G740" s="63" t="s">
        <v>2808</v>
      </c>
      <c r="H740" s="63"/>
      <c r="I740" s="58">
        <v>4</v>
      </c>
      <c r="J740" s="85" t="s">
        <v>1256</v>
      </c>
      <c r="K740" s="86"/>
      <c r="L740" s="87"/>
      <c r="M740" s="88"/>
      <c r="N740" s="44">
        <v>500</v>
      </c>
      <c r="O740" s="93" t="s">
        <v>1360</v>
      </c>
      <c r="P740" s="34" t="s">
        <v>2809</v>
      </c>
    </row>
    <row r="741" spans="2:16" ht="27.75" customHeight="1">
      <c r="B741" s="25">
        <f t="shared" si="11"/>
        <v>710</v>
      </c>
      <c r="C741" s="42" t="s">
        <v>467</v>
      </c>
      <c r="D741" s="16" t="s">
        <v>467</v>
      </c>
      <c r="E741" s="26" t="e">
        <f>VLOOKUP(C741,#REF!,3,0)</f>
        <v>#REF!</v>
      </c>
      <c r="F741" s="212" t="s">
        <v>2810</v>
      </c>
      <c r="G741" s="63" t="s">
        <v>2811</v>
      </c>
      <c r="H741" s="63"/>
      <c r="I741" s="58">
        <v>4</v>
      </c>
      <c r="J741" s="85" t="s">
        <v>1256</v>
      </c>
      <c r="K741" s="86"/>
      <c r="L741" s="87"/>
      <c r="M741" s="88"/>
      <c r="N741" s="44">
        <v>500</v>
      </c>
      <c r="O741" s="93" t="s">
        <v>1360</v>
      </c>
      <c r="P741" s="34"/>
    </row>
    <row r="742" spans="2:16" ht="27.75" customHeight="1">
      <c r="B742" s="25">
        <f t="shared" si="11"/>
        <v>711</v>
      </c>
      <c r="C742" s="42" t="s">
        <v>268</v>
      </c>
      <c r="D742" s="16" t="s">
        <v>268</v>
      </c>
      <c r="E742" s="26" t="e">
        <f>VLOOKUP(C742,#REF!,3,0)</f>
        <v>#REF!</v>
      </c>
      <c r="F742" s="212" t="s">
        <v>2812</v>
      </c>
      <c r="G742" s="63" t="s">
        <v>2813</v>
      </c>
      <c r="H742" s="63"/>
      <c r="I742" s="58">
        <v>2</v>
      </c>
      <c r="J742" s="85" t="s">
        <v>1256</v>
      </c>
      <c r="K742" s="86"/>
      <c r="L742" s="87"/>
      <c r="M742" s="88"/>
      <c r="N742" s="44">
        <v>500</v>
      </c>
      <c r="O742" s="25" t="s">
        <v>2786</v>
      </c>
      <c r="P742" s="34" t="s">
        <v>2763</v>
      </c>
    </row>
    <row r="743" spans="2:16" ht="27.75" customHeight="1">
      <c r="B743" s="25">
        <f t="shared" si="11"/>
        <v>712</v>
      </c>
      <c r="C743" s="42" t="s">
        <v>645</v>
      </c>
      <c r="D743" s="16" t="s">
        <v>645</v>
      </c>
      <c r="E743" s="26" t="e">
        <f>VLOOKUP(C743,#REF!,3,0)</f>
        <v>#REF!</v>
      </c>
      <c r="F743" s="212" t="s">
        <v>2814</v>
      </c>
      <c r="G743" s="63" t="s">
        <v>2815</v>
      </c>
      <c r="H743" s="63"/>
      <c r="I743" s="58">
        <v>2</v>
      </c>
      <c r="J743" s="85" t="s">
        <v>1256</v>
      </c>
      <c r="K743" s="86"/>
      <c r="L743" s="87"/>
      <c r="M743" s="88"/>
      <c r="N743" s="44">
        <v>500</v>
      </c>
      <c r="O743" s="93" t="s">
        <v>1360</v>
      </c>
      <c r="P743" s="34"/>
    </row>
    <row r="744" spans="2:16" ht="27.75" customHeight="1">
      <c r="B744" s="25">
        <f t="shared" si="11"/>
        <v>713</v>
      </c>
      <c r="C744" s="42" t="s">
        <v>646</v>
      </c>
      <c r="D744" s="16" t="s">
        <v>645</v>
      </c>
      <c r="E744" s="26" t="e">
        <f>VLOOKUP(C744,#REF!,3,0)</f>
        <v>#REF!</v>
      </c>
      <c r="F744" s="212" t="s">
        <v>2814</v>
      </c>
      <c r="G744" s="63" t="s">
        <v>2815</v>
      </c>
      <c r="H744" s="63"/>
      <c r="I744" s="58">
        <v>2</v>
      </c>
      <c r="J744" s="85" t="s">
        <v>1256</v>
      </c>
      <c r="K744" s="86"/>
      <c r="L744" s="87"/>
      <c r="M744" s="88"/>
      <c r="N744" s="44"/>
      <c r="O744" s="93" t="s">
        <v>1360</v>
      </c>
      <c r="P744" s="34"/>
    </row>
    <row r="745" spans="2:16" ht="27.75" customHeight="1">
      <c r="B745" s="25">
        <f t="shared" si="11"/>
        <v>714</v>
      </c>
      <c r="C745" s="42" t="s">
        <v>647</v>
      </c>
      <c r="D745" s="16" t="s">
        <v>647</v>
      </c>
      <c r="E745" s="26" t="e">
        <f>VLOOKUP(C745,#REF!,3,0)</f>
        <v>#REF!</v>
      </c>
      <c r="F745" s="212" t="s">
        <v>2816</v>
      </c>
      <c r="G745" s="63" t="s">
        <v>2817</v>
      </c>
      <c r="H745" s="63"/>
      <c r="I745" s="58">
        <v>4</v>
      </c>
      <c r="J745" s="85" t="s">
        <v>1256</v>
      </c>
      <c r="K745" s="86"/>
      <c r="L745" s="87"/>
      <c r="M745" s="88"/>
      <c r="N745" s="44">
        <v>500</v>
      </c>
      <c r="O745" s="93" t="s">
        <v>1360</v>
      </c>
      <c r="P745" s="34"/>
    </row>
    <row r="746" spans="2:16" ht="27.75" customHeight="1">
      <c r="B746" s="25">
        <f t="shared" si="11"/>
        <v>715</v>
      </c>
      <c r="C746" s="42" t="s">
        <v>648</v>
      </c>
      <c r="D746" s="16" t="s">
        <v>647</v>
      </c>
      <c r="E746" s="26" t="e">
        <f>VLOOKUP(C746,#REF!,3,0)</f>
        <v>#REF!</v>
      </c>
      <c r="F746" s="212" t="s">
        <v>2816</v>
      </c>
      <c r="G746" s="63" t="s">
        <v>2817</v>
      </c>
      <c r="H746" s="63"/>
      <c r="I746" s="58">
        <v>4</v>
      </c>
      <c r="J746" s="85" t="s">
        <v>1256</v>
      </c>
      <c r="K746" s="86"/>
      <c r="L746" s="87"/>
      <c r="M746" s="88"/>
      <c r="N746" s="44"/>
      <c r="O746" s="93" t="s">
        <v>1360</v>
      </c>
      <c r="P746" s="34"/>
    </row>
    <row r="747" spans="2:16" ht="27.75" customHeight="1">
      <c r="B747" s="25">
        <f t="shared" si="11"/>
        <v>716</v>
      </c>
      <c r="C747" s="42" t="s">
        <v>1049</v>
      </c>
      <c r="D747" s="16" t="s">
        <v>1049</v>
      </c>
      <c r="E747" s="26" t="e">
        <f>VLOOKUP(C747,#REF!,3,0)</f>
        <v>#REF!</v>
      </c>
      <c r="F747" s="212" t="s">
        <v>2818</v>
      </c>
      <c r="G747" s="63" t="s">
        <v>2819</v>
      </c>
      <c r="H747" s="63" t="s">
        <v>1215</v>
      </c>
      <c r="I747" s="58">
        <v>4</v>
      </c>
      <c r="J747" s="85" t="s">
        <v>1256</v>
      </c>
      <c r="K747" s="86"/>
      <c r="L747" s="87"/>
      <c r="M747" s="88"/>
      <c r="N747" s="44">
        <v>500</v>
      </c>
      <c r="O747" s="93" t="s">
        <v>2820</v>
      </c>
      <c r="P747" s="34"/>
    </row>
    <row r="748" spans="2:16" ht="27.75" customHeight="1">
      <c r="B748" s="25">
        <f t="shared" si="11"/>
        <v>717</v>
      </c>
      <c r="C748" s="42" t="s">
        <v>1048</v>
      </c>
      <c r="D748" s="16" t="s">
        <v>1049</v>
      </c>
      <c r="E748" s="26" t="e">
        <f>VLOOKUP(C748,#REF!,3,0)</f>
        <v>#REF!</v>
      </c>
      <c r="F748" s="212" t="s">
        <v>2821</v>
      </c>
      <c r="G748" s="63" t="s">
        <v>2822</v>
      </c>
      <c r="H748" s="63" t="s">
        <v>1215</v>
      </c>
      <c r="I748" s="58">
        <v>4</v>
      </c>
      <c r="J748" s="85" t="s">
        <v>1256</v>
      </c>
      <c r="K748" s="86"/>
      <c r="L748" s="87"/>
      <c r="M748" s="88"/>
      <c r="N748" s="44">
        <v>500</v>
      </c>
      <c r="O748" s="93" t="s">
        <v>2820</v>
      </c>
      <c r="P748" s="34"/>
    </row>
    <row r="749" spans="2:16" ht="27.75" customHeight="1">
      <c r="B749" s="25">
        <f t="shared" si="11"/>
        <v>718</v>
      </c>
      <c r="C749" s="42" t="s">
        <v>317</v>
      </c>
      <c r="D749" s="16" t="s">
        <v>317</v>
      </c>
      <c r="E749" s="26" t="e">
        <f>VLOOKUP(C749,#REF!,3,0)</f>
        <v>#REF!</v>
      </c>
      <c r="F749" s="212" t="s">
        <v>2823</v>
      </c>
      <c r="G749" s="63" t="s">
        <v>2824</v>
      </c>
      <c r="H749" s="63"/>
      <c r="I749" s="58">
        <v>4</v>
      </c>
      <c r="J749" s="85" t="s">
        <v>1256</v>
      </c>
      <c r="K749" s="86"/>
      <c r="L749" s="87"/>
      <c r="M749" s="88"/>
      <c r="N749" s="44">
        <v>500</v>
      </c>
      <c r="O749" s="93" t="s">
        <v>2820</v>
      </c>
      <c r="P749" s="34"/>
    </row>
    <row r="750" spans="2:16" ht="27.75" customHeight="1">
      <c r="B750" s="25">
        <f t="shared" si="11"/>
        <v>719</v>
      </c>
      <c r="C750" s="42" t="s">
        <v>1087</v>
      </c>
      <c r="D750" s="16" t="s">
        <v>1087</v>
      </c>
      <c r="E750" s="26" t="e">
        <f>VLOOKUP(C750,#REF!,3,0)</f>
        <v>#REF!</v>
      </c>
      <c r="F750" s="212" t="s">
        <v>2825</v>
      </c>
      <c r="G750" s="63" t="s">
        <v>2826</v>
      </c>
      <c r="H750" s="63" t="s">
        <v>1215</v>
      </c>
      <c r="I750" s="58">
        <v>8</v>
      </c>
      <c r="J750" s="85" t="s">
        <v>1256</v>
      </c>
      <c r="K750" s="86"/>
      <c r="L750" s="87"/>
      <c r="M750" s="88"/>
      <c r="N750" s="44">
        <v>500</v>
      </c>
      <c r="O750" s="93" t="s">
        <v>2820</v>
      </c>
      <c r="P750" s="34"/>
    </row>
    <row r="751" spans="2:16" ht="27.75" customHeight="1">
      <c r="B751" s="25">
        <f t="shared" si="11"/>
        <v>720</v>
      </c>
      <c r="C751" s="42" t="s">
        <v>1086</v>
      </c>
      <c r="D751" s="16" t="s">
        <v>1087</v>
      </c>
      <c r="E751" s="26" t="e">
        <f>VLOOKUP(C751,#REF!,3,0)</f>
        <v>#REF!</v>
      </c>
      <c r="F751" s="212" t="s">
        <v>2827</v>
      </c>
      <c r="G751" s="63" t="s">
        <v>2826</v>
      </c>
      <c r="H751" s="63" t="s">
        <v>1215</v>
      </c>
      <c r="I751" s="58">
        <v>8</v>
      </c>
      <c r="J751" s="85" t="s">
        <v>1256</v>
      </c>
      <c r="K751" s="86"/>
      <c r="L751" s="87"/>
      <c r="M751" s="88"/>
      <c r="N751" s="44">
        <v>500</v>
      </c>
      <c r="O751" s="93" t="s">
        <v>2820</v>
      </c>
      <c r="P751" s="34"/>
    </row>
    <row r="752" spans="2:16" ht="27.75" customHeight="1">
      <c r="B752" s="25">
        <f t="shared" si="11"/>
        <v>721</v>
      </c>
      <c r="C752" s="42" t="s">
        <v>315</v>
      </c>
      <c r="D752" s="16" t="s">
        <v>315</v>
      </c>
      <c r="E752" s="26" t="e">
        <f>VLOOKUP(C752,#REF!,3,0)</f>
        <v>#REF!</v>
      </c>
      <c r="F752" s="212" t="s">
        <v>2828</v>
      </c>
      <c r="G752" s="63" t="s">
        <v>2829</v>
      </c>
      <c r="H752" s="63"/>
      <c r="I752" s="58">
        <v>4</v>
      </c>
      <c r="J752" s="85" t="s">
        <v>1256</v>
      </c>
      <c r="K752" s="86"/>
      <c r="L752" s="87"/>
      <c r="M752" s="88"/>
      <c r="N752" s="44">
        <v>500</v>
      </c>
      <c r="O752" s="93" t="s">
        <v>2820</v>
      </c>
      <c r="P752" s="34"/>
    </row>
    <row r="753" spans="2:16" ht="27.75" customHeight="1">
      <c r="B753" s="25">
        <f t="shared" si="11"/>
        <v>722</v>
      </c>
      <c r="C753" s="42" t="s">
        <v>109</v>
      </c>
      <c r="D753" s="16" t="s">
        <v>109</v>
      </c>
      <c r="E753" s="26" t="e">
        <f>VLOOKUP(C753,#REF!,3,0)</f>
        <v>#REF!</v>
      </c>
      <c r="F753" s="212" t="s">
        <v>2830</v>
      </c>
      <c r="G753" s="63" t="s">
        <v>2831</v>
      </c>
      <c r="H753" s="63"/>
      <c r="I753" s="58">
        <v>4</v>
      </c>
      <c r="J753" s="85" t="s">
        <v>1256</v>
      </c>
      <c r="K753" s="86"/>
      <c r="L753" s="87"/>
      <c r="M753" s="88"/>
      <c r="N753" s="44">
        <v>500</v>
      </c>
      <c r="O753" s="93" t="s">
        <v>2820</v>
      </c>
      <c r="P753" s="34"/>
    </row>
    <row r="754" spans="2:16" ht="27.75" customHeight="1">
      <c r="B754" s="25">
        <f t="shared" si="11"/>
        <v>723</v>
      </c>
      <c r="C754" s="42" t="s">
        <v>64</v>
      </c>
      <c r="D754" s="16" t="s">
        <v>64</v>
      </c>
      <c r="E754" s="26" t="e">
        <f>VLOOKUP(C754,#REF!,3,0)</f>
        <v>#REF!</v>
      </c>
      <c r="F754" s="212" t="s">
        <v>2832</v>
      </c>
      <c r="G754" s="63" t="s">
        <v>2833</v>
      </c>
      <c r="H754" s="63" t="s">
        <v>1215</v>
      </c>
      <c r="I754" s="58">
        <v>2</v>
      </c>
      <c r="J754" s="85" t="s">
        <v>1256</v>
      </c>
      <c r="K754" s="86"/>
      <c r="L754" s="87"/>
      <c r="M754" s="88"/>
      <c r="N754" s="44">
        <v>500</v>
      </c>
      <c r="O754" s="93" t="s">
        <v>2820</v>
      </c>
      <c r="P754" s="34"/>
    </row>
    <row r="755" spans="2:16" ht="27.75" customHeight="1">
      <c r="B755" s="25">
        <f t="shared" si="11"/>
        <v>724</v>
      </c>
      <c r="C755" s="42" t="s">
        <v>781</v>
      </c>
      <c r="D755" s="16" t="s">
        <v>781</v>
      </c>
      <c r="E755" s="26" t="e">
        <f>VLOOKUP(C755,#REF!,3,0)</f>
        <v>#REF!</v>
      </c>
      <c r="F755" s="212" t="s">
        <v>2834</v>
      </c>
      <c r="G755" s="63" t="s">
        <v>2835</v>
      </c>
      <c r="H755" s="63" t="s">
        <v>1215</v>
      </c>
      <c r="I755" s="58">
        <v>4</v>
      </c>
      <c r="J755" s="85" t="s">
        <v>1256</v>
      </c>
      <c r="K755" s="86"/>
      <c r="L755" s="87"/>
      <c r="M755" s="88"/>
      <c r="N755" s="44">
        <v>500</v>
      </c>
      <c r="O755" s="93" t="s">
        <v>2820</v>
      </c>
      <c r="P755" s="34"/>
    </row>
    <row r="756" spans="2:16" ht="27.75" customHeight="1">
      <c r="B756" s="25">
        <f t="shared" si="11"/>
        <v>725</v>
      </c>
      <c r="C756" s="42" t="s">
        <v>782</v>
      </c>
      <c r="D756" s="16" t="s">
        <v>781</v>
      </c>
      <c r="E756" s="26" t="e">
        <f>VLOOKUP(C756,#REF!,3,0)</f>
        <v>#REF!</v>
      </c>
      <c r="F756" s="212" t="s">
        <v>2836</v>
      </c>
      <c r="G756" s="63" t="s">
        <v>2837</v>
      </c>
      <c r="H756" s="63" t="s">
        <v>1215</v>
      </c>
      <c r="I756" s="58">
        <v>4</v>
      </c>
      <c r="J756" s="85" t="s">
        <v>1256</v>
      </c>
      <c r="K756" s="86"/>
      <c r="L756" s="87"/>
      <c r="M756" s="88"/>
      <c r="N756" s="44">
        <v>500</v>
      </c>
      <c r="O756" s="93" t="s">
        <v>2820</v>
      </c>
      <c r="P756" s="34"/>
    </row>
    <row r="757" spans="2:16" ht="27.75" customHeight="1">
      <c r="B757" s="25">
        <f t="shared" si="11"/>
        <v>726</v>
      </c>
      <c r="C757" s="42" t="s">
        <v>785</v>
      </c>
      <c r="D757" s="16" t="s">
        <v>781</v>
      </c>
      <c r="E757" s="26" t="e">
        <f>VLOOKUP(C757,#REF!,3,0)</f>
        <v>#REF!</v>
      </c>
      <c r="F757" s="212" t="s">
        <v>2838</v>
      </c>
      <c r="G757" s="63" t="s">
        <v>2839</v>
      </c>
      <c r="H757" s="63" t="s">
        <v>1215</v>
      </c>
      <c r="I757" s="58">
        <v>4</v>
      </c>
      <c r="J757" s="85" t="s">
        <v>1256</v>
      </c>
      <c r="K757" s="86"/>
      <c r="L757" s="87"/>
      <c r="M757" s="88"/>
      <c r="N757" s="44">
        <v>500</v>
      </c>
      <c r="O757" s="93" t="s">
        <v>2820</v>
      </c>
      <c r="P757" s="34"/>
    </row>
    <row r="758" spans="2:16" ht="27.75" customHeight="1">
      <c r="B758" s="25">
        <f t="shared" si="11"/>
        <v>727</v>
      </c>
      <c r="C758" s="42" t="s">
        <v>783</v>
      </c>
      <c r="D758" s="16" t="s">
        <v>781</v>
      </c>
      <c r="E758" s="26" t="e">
        <f>VLOOKUP(C758,#REF!,3,0)</f>
        <v>#REF!</v>
      </c>
      <c r="F758" s="212" t="s">
        <v>2840</v>
      </c>
      <c r="G758" s="63" t="s">
        <v>2841</v>
      </c>
      <c r="H758" s="63" t="s">
        <v>1215</v>
      </c>
      <c r="I758" s="58">
        <v>4</v>
      </c>
      <c r="J758" s="85" t="s">
        <v>1256</v>
      </c>
      <c r="K758" s="86"/>
      <c r="L758" s="87"/>
      <c r="M758" s="88"/>
      <c r="N758" s="44">
        <v>500</v>
      </c>
      <c r="O758" s="93" t="s">
        <v>2820</v>
      </c>
      <c r="P758" s="34"/>
    </row>
    <row r="759" spans="2:16" ht="27.75" customHeight="1">
      <c r="B759" s="25">
        <f t="shared" si="11"/>
        <v>728</v>
      </c>
      <c r="C759" s="42" t="s">
        <v>784</v>
      </c>
      <c r="D759" s="16" t="s">
        <v>781</v>
      </c>
      <c r="E759" s="26" t="e">
        <f>VLOOKUP(C759,#REF!,3,0)</f>
        <v>#REF!</v>
      </c>
      <c r="F759" s="212" t="s">
        <v>2842</v>
      </c>
      <c r="G759" s="63" t="s">
        <v>2843</v>
      </c>
      <c r="H759" s="63" t="s">
        <v>1215</v>
      </c>
      <c r="I759" s="58">
        <v>4</v>
      </c>
      <c r="J759" s="85" t="s">
        <v>1256</v>
      </c>
      <c r="K759" s="86"/>
      <c r="L759" s="87"/>
      <c r="M759" s="88"/>
      <c r="N759" s="44">
        <v>500</v>
      </c>
      <c r="O759" s="93" t="s">
        <v>2820</v>
      </c>
      <c r="P759" s="34"/>
    </row>
    <row r="760" spans="2:16" ht="27.75" customHeight="1">
      <c r="B760" s="25">
        <f t="shared" si="11"/>
        <v>729</v>
      </c>
      <c r="C760" s="42" t="s">
        <v>705</v>
      </c>
      <c r="D760" s="16" t="s">
        <v>705</v>
      </c>
      <c r="E760" s="26" t="e">
        <f>VLOOKUP(C760,#REF!,3,0)</f>
        <v>#REF!</v>
      </c>
      <c r="F760" s="212" t="s">
        <v>2844</v>
      </c>
      <c r="G760" s="63" t="s">
        <v>2845</v>
      </c>
      <c r="H760" s="63"/>
      <c r="I760" s="58">
        <v>4</v>
      </c>
      <c r="J760" s="85" t="s">
        <v>1256</v>
      </c>
      <c r="K760" s="86"/>
      <c r="L760" s="87"/>
      <c r="M760" s="88"/>
      <c r="N760" s="44">
        <v>500</v>
      </c>
      <c r="O760" s="93" t="s">
        <v>2820</v>
      </c>
      <c r="P760" s="34"/>
    </row>
    <row r="761" spans="2:16" ht="27.75" customHeight="1">
      <c r="B761" s="25">
        <f t="shared" si="11"/>
        <v>730</v>
      </c>
      <c r="C761" s="42" t="s">
        <v>706</v>
      </c>
      <c r="D761" s="16" t="s">
        <v>705</v>
      </c>
      <c r="E761" s="26" t="e">
        <f>VLOOKUP(C761,#REF!,3,0)</f>
        <v>#REF!</v>
      </c>
      <c r="F761" s="212" t="s">
        <v>2844</v>
      </c>
      <c r="G761" s="63" t="s">
        <v>2845</v>
      </c>
      <c r="H761" s="63"/>
      <c r="I761" s="58">
        <v>4</v>
      </c>
      <c r="J761" s="85" t="s">
        <v>1256</v>
      </c>
      <c r="K761" s="86"/>
      <c r="L761" s="87"/>
      <c r="M761" s="88"/>
      <c r="N761" s="44"/>
      <c r="O761" s="93"/>
      <c r="P761" s="34"/>
    </row>
    <row r="762" spans="2:16" ht="27.75" customHeight="1">
      <c r="B762" s="25">
        <f t="shared" si="11"/>
        <v>731</v>
      </c>
      <c r="C762" s="42" t="s">
        <v>496</v>
      </c>
      <c r="D762" s="16" t="s">
        <v>496</v>
      </c>
      <c r="E762" s="26" t="e">
        <f>VLOOKUP(C762,#REF!,3,0)</f>
        <v>#REF!</v>
      </c>
      <c r="F762" s="212" t="s">
        <v>2846</v>
      </c>
      <c r="G762" s="63" t="s">
        <v>2847</v>
      </c>
      <c r="H762" s="63"/>
      <c r="I762" s="58">
        <v>2</v>
      </c>
      <c r="J762" s="85" t="s">
        <v>1256</v>
      </c>
      <c r="K762" s="86"/>
      <c r="L762" s="87"/>
      <c r="M762" s="88"/>
      <c r="N762" s="44">
        <v>500</v>
      </c>
      <c r="O762" s="93" t="s">
        <v>2820</v>
      </c>
      <c r="P762" s="34"/>
    </row>
    <row r="763" spans="2:16" ht="27.75" customHeight="1">
      <c r="B763" s="25">
        <f t="shared" si="11"/>
        <v>732</v>
      </c>
      <c r="C763" s="42" t="s">
        <v>495</v>
      </c>
      <c r="D763" s="16" t="s">
        <v>495</v>
      </c>
      <c r="E763" s="26" t="e">
        <f>VLOOKUP(C763,#REF!,3,0)</f>
        <v>#REF!</v>
      </c>
      <c r="F763" s="212" t="s">
        <v>2848</v>
      </c>
      <c r="G763" s="63" t="s">
        <v>2849</v>
      </c>
      <c r="H763" s="63"/>
      <c r="I763" s="58">
        <v>2</v>
      </c>
      <c r="J763" s="85" t="s">
        <v>1256</v>
      </c>
      <c r="K763" s="86"/>
      <c r="L763" s="87"/>
      <c r="M763" s="88"/>
      <c r="N763" s="44">
        <v>500</v>
      </c>
      <c r="O763" s="93" t="s">
        <v>2820</v>
      </c>
      <c r="P763" s="34"/>
    </row>
    <row r="764" spans="2:16" ht="27.75" customHeight="1">
      <c r="B764" s="25">
        <f t="shared" si="11"/>
        <v>733</v>
      </c>
      <c r="C764" s="42" t="s">
        <v>427</v>
      </c>
      <c r="D764" s="16" t="s">
        <v>427</v>
      </c>
      <c r="E764" s="26" t="e">
        <f>VLOOKUP(C764,#REF!,3,0)</f>
        <v>#REF!</v>
      </c>
      <c r="F764" s="212" t="s">
        <v>2850</v>
      </c>
      <c r="G764" s="63" t="s">
        <v>2851</v>
      </c>
      <c r="H764" s="63"/>
      <c r="I764" s="58">
        <v>4</v>
      </c>
      <c r="J764" s="85" t="s">
        <v>1256</v>
      </c>
      <c r="K764" s="86"/>
      <c r="L764" s="87"/>
      <c r="M764" s="88"/>
      <c r="N764" s="44">
        <v>500</v>
      </c>
      <c r="O764" s="93" t="s">
        <v>2820</v>
      </c>
      <c r="P764" s="34"/>
    </row>
    <row r="765" spans="2:16" ht="27.75" customHeight="1">
      <c r="B765" s="25">
        <f t="shared" si="11"/>
        <v>734</v>
      </c>
      <c r="C765" s="42" t="s">
        <v>471</v>
      </c>
      <c r="D765" s="16" t="s">
        <v>471</v>
      </c>
      <c r="E765" s="26" t="e">
        <f>VLOOKUP(C765,#REF!,3,0)</f>
        <v>#REF!</v>
      </c>
      <c r="F765" s="212" t="s">
        <v>2852</v>
      </c>
      <c r="G765" s="63" t="s">
        <v>2853</v>
      </c>
      <c r="H765" s="63"/>
      <c r="I765" s="58">
        <v>4</v>
      </c>
      <c r="J765" s="85" t="s">
        <v>1256</v>
      </c>
      <c r="K765" s="86"/>
      <c r="L765" s="87"/>
      <c r="M765" s="88"/>
      <c r="N765" s="44">
        <v>500</v>
      </c>
      <c r="O765" s="93" t="s">
        <v>2820</v>
      </c>
      <c r="P765" s="34"/>
    </row>
    <row r="766" spans="2:16" ht="27.75" customHeight="1">
      <c r="B766" s="25">
        <f t="shared" si="11"/>
        <v>735</v>
      </c>
      <c r="C766" s="42" t="s">
        <v>642</v>
      </c>
      <c r="D766" s="16" t="s">
        <v>642</v>
      </c>
      <c r="E766" s="26" t="e">
        <f>VLOOKUP(C766,#REF!,3,0)</f>
        <v>#REF!</v>
      </c>
      <c r="F766" s="212" t="s">
        <v>2854</v>
      </c>
      <c r="G766" s="63" t="s">
        <v>2855</v>
      </c>
      <c r="H766" s="63"/>
      <c r="I766" s="58">
        <v>2</v>
      </c>
      <c r="J766" s="85" t="s">
        <v>1256</v>
      </c>
      <c r="K766" s="86"/>
      <c r="L766" s="87"/>
      <c r="M766" s="88"/>
      <c r="N766" s="44">
        <v>500</v>
      </c>
      <c r="O766" s="93" t="s">
        <v>2820</v>
      </c>
      <c r="P766" s="34"/>
    </row>
    <row r="767" spans="2:16" ht="27.75" customHeight="1">
      <c r="B767" s="25">
        <f t="shared" si="11"/>
        <v>736</v>
      </c>
      <c r="C767" s="42" t="s">
        <v>429</v>
      </c>
      <c r="D767" s="16" t="s">
        <v>429</v>
      </c>
      <c r="E767" s="26" t="e">
        <f>VLOOKUP(C767,#REF!,3,0)</f>
        <v>#REF!</v>
      </c>
      <c r="F767" s="212" t="s">
        <v>2856</v>
      </c>
      <c r="G767" s="63" t="s">
        <v>2857</v>
      </c>
      <c r="H767" s="63"/>
      <c r="I767" s="58">
        <v>4</v>
      </c>
      <c r="J767" s="85" t="s">
        <v>1256</v>
      </c>
      <c r="K767" s="86"/>
      <c r="L767" s="87"/>
      <c r="M767" s="88"/>
      <c r="N767" s="44">
        <v>500</v>
      </c>
      <c r="O767" s="93" t="s">
        <v>2820</v>
      </c>
      <c r="P767" s="34"/>
    </row>
    <row r="768" spans="2:16" ht="27.75" customHeight="1">
      <c r="B768" s="25">
        <f t="shared" si="11"/>
        <v>737</v>
      </c>
      <c r="C768" s="42" t="s">
        <v>269</v>
      </c>
      <c r="D768" s="16" t="s">
        <v>269</v>
      </c>
      <c r="E768" s="26" t="e">
        <f>VLOOKUP(C768,#REF!,3,0)</f>
        <v>#REF!</v>
      </c>
      <c r="F768" s="212" t="s">
        <v>2858</v>
      </c>
      <c r="G768" s="63" t="s">
        <v>2859</v>
      </c>
      <c r="H768" s="63"/>
      <c r="I768" s="58">
        <v>4</v>
      </c>
      <c r="J768" s="85" t="s">
        <v>1256</v>
      </c>
      <c r="K768" s="86"/>
      <c r="L768" s="87"/>
      <c r="M768" s="88"/>
      <c r="N768" s="44">
        <v>500</v>
      </c>
      <c r="O768" s="93" t="s">
        <v>2820</v>
      </c>
      <c r="P768" s="34"/>
    </row>
    <row r="769" spans="2:16" ht="27.75" customHeight="1">
      <c r="B769" s="25">
        <f t="shared" si="11"/>
        <v>738</v>
      </c>
      <c r="C769" s="42" t="s">
        <v>825</v>
      </c>
      <c r="D769" s="16" t="s">
        <v>825</v>
      </c>
      <c r="E769" s="26" t="e">
        <f>VLOOKUP(C769,#REF!,3,0)</f>
        <v>#REF!</v>
      </c>
      <c r="F769" s="212" t="s">
        <v>2860</v>
      </c>
      <c r="G769" s="63" t="s">
        <v>2861</v>
      </c>
      <c r="H769" s="63"/>
      <c r="I769" s="58">
        <v>8</v>
      </c>
      <c r="J769" s="85" t="s">
        <v>1256</v>
      </c>
      <c r="K769" s="86"/>
      <c r="L769" s="87"/>
      <c r="M769" s="88"/>
      <c r="N769" s="44">
        <v>500</v>
      </c>
      <c r="O769" s="93" t="s">
        <v>2820</v>
      </c>
      <c r="P769" s="34"/>
    </row>
    <row r="770" spans="2:16" ht="27.75" customHeight="1">
      <c r="B770" s="25">
        <f t="shared" si="11"/>
        <v>739</v>
      </c>
      <c r="C770" s="42" t="s">
        <v>824</v>
      </c>
      <c r="D770" s="16" t="s">
        <v>825</v>
      </c>
      <c r="E770" s="26" t="e">
        <f>VLOOKUP(C770,#REF!,3,0)</f>
        <v>#REF!</v>
      </c>
      <c r="F770" s="212" t="s">
        <v>2860</v>
      </c>
      <c r="G770" s="63" t="s">
        <v>2861</v>
      </c>
      <c r="H770" s="63"/>
      <c r="I770" s="58">
        <v>8</v>
      </c>
      <c r="J770" s="85" t="s">
        <v>1256</v>
      </c>
      <c r="K770" s="86"/>
      <c r="L770" s="87"/>
      <c r="M770" s="88"/>
      <c r="N770" s="44"/>
      <c r="O770" s="93"/>
      <c r="P770" s="34"/>
    </row>
    <row r="771" spans="2:16" ht="27.75" customHeight="1">
      <c r="B771" s="25">
        <f t="shared" si="11"/>
        <v>740</v>
      </c>
      <c r="C771" s="42" t="s">
        <v>827</v>
      </c>
      <c r="D771" s="16" t="s">
        <v>827</v>
      </c>
      <c r="E771" s="26" t="e">
        <f>VLOOKUP(C771,#REF!,3,0)</f>
        <v>#REF!</v>
      </c>
      <c r="F771" s="212" t="s">
        <v>2862</v>
      </c>
      <c r="G771" s="63" t="s">
        <v>2863</v>
      </c>
      <c r="H771" s="63"/>
      <c r="I771" s="58">
        <v>8</v>
      </c>
      <c r="J771" s="85" t="s">
        <v>1256</v>
      </c>
      <c r="K771" s="86"/>
      <c r="L771" s="87"/>
      <c r="M771" s="88"/>
      <c r="N771" s="44">
        <v>500</v>
      </c>
      <c r="O771" s="93" t="s">
        <v>2820</v>
      </c>
      <c r="P771" s="34"/>
    </row>
    <row r="772" spans="2:16" ht="27.75" customHeight="1">
      <c r="B772" s="25">
        <f t="shared" si="11"/>
        <v>741</v>
      </c>
      <c r="C772" s="42" t="s">
        <v>826</v>
      </c>
      <c r="D772" s="16" t="s">
        <v>827</v>
      </c>
      <c r="E772" s="26"/>
      <c r="F772" s="212"/>
      <c r="G772" s="63"/>
      <c r="H772" s="63"/>
      <c r="I772" s="58"/>
      <c r="J772" s="85"/>
      <c r="K772" s="86"/>
      <c r="L772" s="87"/>
      <c r="M772" s="88"/>
      <c r="N772" s="44"/>
      <c r="O772" s="93"/>
      <c r="P772" s="34"/>
    </row>
    <row r="773" spans="2:16" ht="27.75" customHeight="1">
      <c r="B773" s="25">
        <f t="shared" si="11"/>
        <v>742</v>
      </c>
      <c r="C773" s="42" t="s">
        <v>742</v>
      </c>
      <c r="D773" s="16" t="s">
        <v>742</v>
      </c>
      <c r="E773" s="26" t="e">
        <f>VLOOKUP(C773,#REF!,3,0)</f>
        <v>#REF!</v>
      </c>
      <c r="F773" s="212" t="s">
        <v>2864</v>
      </c>
      <c r="G773" s="63" t="s">
        <v>2865</v>
      </c>
      <c r="H773" s="63"/>
      <c r="I773" s="58">
        <v>4</v>
      </c>
      <c r="J773" s="85" t="s">
        <v>1256</v>
      </c>
      <c r="K773" s="86"/>
      <c r="L773" s="87"/>
      <c r="M773" s="88"/>
      <c r="N773" s="44">
        <v>500</v>
      </c>
      <c r="O773" s="93" t="s">
        <v>2820</v>
      </c>
      <c r="P773" s="34"/>
    </row>
    <row r="774" spans="2:16" ht="27.75" customHeight="1">
      <c r="B774" s="25">
        <f t="shared" si="11"/>
        <v>743</v>
      </c>
      <c r="C774" s="42" t="s">
        <v>743</v>
      </c>
      <c r="D774" s="16" t="s">
        <v>742</v>
      </c>
      <c r="E774" s="26"/>
      <c r="F774" s="212"/>
      <c r="G774" s="63"/>
      <c r="H774" s="63"/>
      <c r="I774" s="58"/>
      <c r="J774" s="85"/>
      <c r="K774" s="86"/>
      <c r="L774" s="87"/>
      <c r="M774" s="88"/>
      <c r="N774" s="44"/>
      <c r="O774" s="93"/>
      <c r="P774" s="34"/>
    </row>
    <row r="775" spans="2:16" ht="27.75" customHeight="1">
      <c r="B775" s="25">
        <f t="shared" ref="B775:B838" si="12">B774+1</f>
        <v>744</v>
      </c>
      <c r="C775" s="42" t="s">
        <v>108</v>
      </c>
      <c r="D775" s="16" t="s">
        <v>108</v>
      </c>
      <c r="E775" s="26" t="e">
        <f>VLOOKUP(C775,#REF!,3,0)</f>
        <v>#REF!</v>
      </c>
      <c r="F775" s="212" t="s">
        <v>2866</v>
      </c>
      <c r="G775" s="63" t="s">
        <v>2867</v>
      </c>
      <c r="H775" s="63"/>
      <c r="I775" s="58">
        <v>4</v>
      </c>
      <c r="J775" s="85" t="s">
        <v>1256</v>
      </c>
      <c r="K775" s="86"/>
      <c r="L775" s="87"/>
      <c r="M775" s="88"/>
      <c r="N775" s="44">
        <v>500</v>
      </c>
      <c r="O775" s="93" t="s">
        <v>2820</v>
      </c>
      <c r="P775" s="34"/>
    </row>
    <row r="776" spans="2:16" ht="27.75" customHeight="1">
      <c r="B776" s="25">
        <f t="shared" si="12"/>
        <v>745</v>
      </c>
      <c r="C776" s="42" t="s">
        <v>470</v>
      </c>
      <c r="D776" s="16" t="s">
        <v>470</v>
      </c>
      <c r="E776" s="26" t="e">
        <f>VLOOKUP(C776,#REF!,3,0)</f>
        <v>#REF!</v>
      </c>
      <c r="F776" s="212" t="s">
        <v>2868</v>
      </c>
      <c r="G776" s="63" t="s">
        <v>2869</v>
      </c>
      <c r="H776" s="63"/>
      <c r="I776" s="58">
        <v>4</v>
      </c>
      <c r="J776" s="85" t="s">
        <v>1256</v>
      </c>
      <c r="K776" s="86"/>
      <c r="L776" s="87"/>
      <c r="M776" s="88"/>
      <c r="N776" s="44">
        <v>500</v>
      </c>
      <c r="O776" s="93" t="s">
        <v>2820</v>
      </c>
      <c r="P776" s="34"/>
    </row>
    <row r="777" spans="2:16" ht="27.75" customHeight="1">
      <c r="B777" s="25">
        <f t="shared" si="12"/>
        <v>746</v>
      </c>
      <c r="C777" s="42" t="s">
        <v>472</v>
      </c>
      <c r="D777" s="16" t="s">
        <v>472</v>
      </c>
      <c r="E777" s="26" t="e">
        <f>VLOOKUP(C777,#REF!,3,0)</f>
        <v>#REF!</v>
      </c>
      <c r="F777" s="212" t="s">
        <v>2870</v>
      </c>
      <c r="G777" s="63" t="s">
        <v>2871</v>
      </c>
      <c r="H777" s="63"/>
      <c r="I777" s="58">
        <v>4</v>
      </c>
      <c r="J777" s="85" t="s">
        <v>1256</v>
      </c>
      <c r="K777" s="86"/>
      <c r="L777" s="87"/>
      <c r="M777" s="88"/>
      <c r="N777" s="44">
        <v>500</v>
      </c>
      <c r="O777" s="93" t="s">
        <v>2820</v>
      </c>
      <c r="P777" s="34"/>
    </row>
    <row r="778" spans="2:16" ht="27.75" customHeight="1">
      <c r="B778" s="25">
        <f t="shared" si="12"/>
        <v>747</v>
      </c>
      <c r="C778" s="42" t="s">
        <v>273</v>
      </c>
      <c r="D778" s="16" t="s">
        <v>273</v>
      </c>
      <c r="E778" s="26" t="e">
        <f>VLOOKUP(C778,#REF!,3,0)</f>
        <v>#REF!</v>
      </c>
      <c r="F778" s="212" t="s">
        <v>2872</v>
      </c>
      <c r="G778" s="63" t="s">
        <v>2873</v>
      </c>
      <c r="H778" s="63"/>
      <c r="I778" s="58">
        <v>2</v>
      </c>
      <c r="J778" s="85" t="s">
        <v>1256</v>
      </c>
      <c r="K778" s="86"/>
      <c r="L778" s="87"/>
      <c r="M778" s="88"/>
      <c r="N778" s="44">
        <v>500</v>
      </c>
      <c r="O778" s="93" t="s">
        <v>2820</v>
      </c>
      <c r="P778" s="34"/>
    </row>
    <row r="779" spans="2:16" ht="27.75" customHeight="1">
      <c r="B779" s="25">
        <f t="shared" si="12"/>
        <v>748</v>
      </c>
      <c r="C779" s="42" t="s">
        <v>644</v>
      </c>
      <c r="D779" s="16" t="s">
        <v>644</v>
      </c>
      <c r="E779" s="26" t="e">
        <f>VLOOKUP(C779,#REF!,3,0)</f>
        <v>#REF!</v>
      </c>
      <c r="F779" s="212" t="s">
        <v>2874</v>
      </c>
      <c r="G779" s="63" t="s">
        <v>2875</v>
      </c>
      <c r="H779" s="63"/>
      <c r="I779" s="58">
        <v>4</v>
      </c>
      <c r="J779" s="85" t="s">
        <v>1256</v>
      </c>
      <c r="K779" s="86"/>
      <c r="L779" s="87"/>
      <c r="M779" s="88"/>
      <c r="N779" s="44">
        <v>500</v>
      </c>
      <c r="O779" s="93" t="s">
        <v>2820</v>
      </c>
      <c r="P779" s="34"/>
    </row>
    <row r="780" spans="2:16" ht="27.75" customHeight="1">
      <c r="B780" s="25">
        <f t="shared" si="12"/>
        <v>749</v>
      </c>
      <c r="C780" s="42" t="s">
        <v>183</v>
      </c>
      <c r="D780" s="16" t="s">
        <v>183</v>
      </c>
      <c r="E780" s="26" t="e">
        <f>VLOOKUP(C780,#REF!,3,0)</f>
        <v>#REF!</v>
      </c>
      <c r="F780" s="212" t="s">
        <v>2876</v>
      </c>
      <c r="G780" s="63" t="s">
        <v>2877</v>
      </c>
      <c r="H780" s="63"/>
      <c r="I780" s="58">
        <v>4</v>
      </c>
      <c r="J780" s="85" t="s">
        <v>1256</v>
      </c>
      <c r="K780" s="86"/>
      <c r="L780" s="87"/>
      <c r="M780" s="88"/>
      <c r="N780" s="44">
        <v>500</v>
      </c>
      <c r="O780" s="93" t="s">
        <v>2820</v>
      </c>
      <c r="P780" s="34"/>
    </row>
    <row r="781" spans="2:16" ht="27.75" customHeight="1">
      <c r="B781" s="25">
        <f t="shared" si="12"/>
        <v>750</v>
      </c>
      <c r="C781" s="42" t="s">
        <v>777</v>
      </c>
      <c r="D781" s="16" t="s">
        <v>777</v>
      </c>
      <c r="E781" s="26" t="e">
        <f>VLOOKUP(C781,#REF!,3,0)</f>
        <v>#REF!</v>
      </c>
      <c r="F781" s="212" t="s">
        <v>2878</v>
      </c>
      <c r="G781" s="63" t="s">
        <v>2879</v>
      </c>
      <c r="H781" s="63"/>
      <c r="I781" s="58">
        <v>2</v>
      </c>
      <c r="J781" s="85" t="s">
        <v>1256</v>
      </c>
      <c r="K781" s="86"/>
      <c r="L781" s="87"/>
      <c r="M781" s="88"/>
      <c r="N781" s="44">
        <v>500</v>
      </c>
      <c r="O781" s="93" t="s">
        <v>2820</v>
      </c>
      <c r="P781" s="34"/>
    </row>
    <row r="782" spans="2:16" ht="27.75" customHeight="1">
      <c r="B782" s="25">
        <f t="shared" si="12"/>
        <v>751</v>
      </c>
      <c r="C782" s="42" t="s">
        <v>524</v>
      </c>
      <c r="D782" s="94" t="s">
        <v>524</v>
      </c>
      <c r="E782" s="26" t="e">
        <f>VLOOKUP(C782,#REF!,3,0)</f>
        <v>#REF!</v>
      </c>
      <c r="F782" s="215" t="s">
        <v>2880</v>
      </c>
      <c r="G782" s="96" t="s">
        <v>2881</v>
      </c>
      <c r="H782" s="96"/>
      <c r="I782" s="97">
        <v>2</v>
      </c>
      <c r="J782" s="98"/>
      <c r="K782" s="99"/>
      <c r="L782" s="100" t="s">
        <v>1582</v>
      </c>
      <c r="M782" s="101"/>
      <c r="N782" s="44">
        <v>500</v>
      </c>
      <c r="O782" s="93" t="s">
        <v>1360</v>
      </c>
      <c r="P782" s="34" t="s">
        <v>2882</v>
      </c>
    </row>
    <row r="783" spans="2:16" ht="27.75" customHeight="1">
      <c r="B783" s="25">
        <f t="shared" si="12"/>
        <v>752</v>
      </c>
      <c r="C783" s="42" t="s">
        <v>314</v>
      </c>
      <c r="D783" s="102" t="s">
        <v>314</v>
      </c>
      <c r="E783" s="26" t="e">
        <f>VLOOKUP(C783,#REF!,3,0)</f>
        <v>#REF!</v>
      </c>
      <c r="F783" s="215" t="s">
        <v>2883</v>
      </c>
      <c r="G783" s="95" t="s">
        <v>2884</v>
      </c>
      <c r="H783" s="95"/>
      <c r="I783" s="103">
        <v>2</v>
      </c>
      <c r="J783" s="104"/>
      <c r="K783" s="105"/>
      <c r="L783" s="100"/>
      <c r="M783" s="106"/>
      <c r="N783" s="44">
        <v>500</v>
      </c>
      <c r="O783" s="93" t="s">
        <v>2820</v>
      </c>
      <c r="P783" s="34"/>
    </row>
    <row r="784" spans="2:16" ht="27.75" customHeight="1">
      <c r="B784" s="25">
        <f t="shared" si="12"/>
        <v>753</v>
      </c>
      <c r="C784" s="42" t="s">
        <v>316</v>
      </c>
      <c r="D784" s="102" t="s">
        <v>316</v>
      </c>
      <c r="E784" s="26" t="e">
        <f>VLOOKUP(C784,#REF!,3,0)</f>
        <v>#REF!</v>
      </c>
      <c r="F784" s="215" t="s">
        <v>2885</v>
      </c>
      <c r="G784" s="95" t="s">
        <v>2886</v>
      </c>
      <c r="H784" s="95"/>
      <c r="I784" s="103">
        <v>2</v>
      </c>
      <c r="J784" s="104"/>
      <c r="K784" s="105"/>
      <c r="L784" s="100" t="s">
        <v>1582</v>
      </c>
      <c r="M784" s="106"/>
      <c r="N784" s="44">
        <v>500</v>
      </c>
      <c r="O784" s="93" t="s">
        <v>2820</v>
      </c>
      <c r="P784" s="34"/>
    </row>
    <row r="785" spans="2:16" ht="27.75" customHeight="1">
      <c r="B785" s="25">
        <f t="shared" si="12"/>
        <v>754</v>
      </c>
      <c r="C785" s="42" t="s">
        <v>684</v>
      </c>
      <c r="D785" s="102" t="s">
        <v>684</v>
      </c>
      <c r="E785" s="26" t="e">
        <f>VLOOKUP(C785,#REF!,3,0)</f>
        <v>#REF!</v>
      </c>
      <c r="F785" s="215" t="s">
        <v>2887</v>
      </c>
      <c r="G785" s="95" t="s">
        <v>2888</v>
      </c>
      <c r="H785" s="95"/>
      <c r="I785" s="103">
        <v>2</v>
      </c>
      <c r="J785" s="104"/>
      <c r="K785" s="105"/>
      <c r="L785" s="100"/>
      <c r="M785" s="106"/>
      <c r="N785" s="44">
        <v>500</v>
      </c>
      <c r="O785" s="93" t="s">
        <v>2820</v>
      </c>
      <c r="P785" s="34"/>
    </row>
    <row r="786" spans="2:16" ht="27.75" customHeight="1">
      <c r="B786" s="25">
        <f t="shared" si="12"/>
        <v>755</v>
      </c>
      <c r="C786" s="42" t="s">
        <v>931</v>
      </c>
      <c r="D786" s="102" t="s">
        <v>931</v>
      </c>
      <c r="E786" s="26" t="e">
        <f>VLOOKUP(C786,#REF!,3,0)</f>
        <v>#REF!</v>
      </c>
      <c r="F786" s="215" t="s">
        <v>2889</v>
      </c>
      <c r="G786" s="95" t="s">
        <v>2890</v>
      </c>
      <c r="H786" s="95"/>
      <c r="I786" s="103">
        <v>2</v>
      </c>
      <c r="J786" s="104"/>
      <c r="K786" s="105"/>
      <c r="L786" s="100"/>
      <c r="M786" s="106"/>
      <c r="N786" s="44">
        <v>500</v>
      </c>
      <c r="O786" s="93" t="s">
        <v>2820</v>
      </c>
      <c r="P786" s="34"/>
    </row>
    <row r="787" spans="2:16" ht="27.75" customHeight="1">
      <c r="B787" s="25">
        <f t="shared" si="12"/>
        <v>756</v>
      </c>
      <c r="C787" s="42" t="s">
        <v>193</v>
      </c>
      <c r="D787" s="102" t="s">
        <v>193</v>
      </c>
      <c r="E787" s="26" t="e">
        <f>VLOOKUP(C787,#REF!,3,0)</f>
        <v>#REF!</v>
      </c>
      <c r="F787" s="215" t="s">
        <v>2891</v>
      </c>
      <c r="G787" s="95" t="s">
        <v>2892</v>
      </c>
      <c r="H787" s="95"/>
      <c r="I787" s="103">
        <v>2</v>
      </c>
      <c r="J787" s="104"/>
      <c r="K787" s="105"/>
      <c r="L787" s="100"/>
      <c r="M787" s="106"/>
      <c r="N787" s="44">
        <v>500</v>
      </c>
      <c r="O787" s="93" t="s">
        <v>2820</v>
      </c>
      <c r="P787" s="34"/>
    </row>
    <row r="788" spans="2:16" ht="27.75" customHeight="1">
      <c r="B788" s="25">
        <f t="shared" si="12"/>
        <v>757</v>
      </c>
      <c r="C788" s="42" t="s">
        <v>91</v>
      </c>
      <c r="D788" s="102" t="s">
        <v>91</v>
      </c>
      <c r="E788" s="26" t="e">
        <f>VLOOKUP(C788,#REF!,3,0)</f>
        <v>#REF!</v>
      </c>
      <c r="F788" s="215" t="s">
        <v>2893</v>
      </c>
      <c r="G788" s="95" t="s">
        <v>2894</v>
      </c>
      <c r="H788" s="95"/>
      <c r="I788" s="103">
        <v>2</v>
      </c>
      <c r="J788" s="104"/>
      <c r="K788" s="105"/>
      <c r="L788" s="100"/>
      <c r="M788" s="106"/>
      <c r="N788" s="44">
        <v>500</v>
      </c>
      <c r="O788" s="93" t="s">
        <v>2820</v>
      </c>
      <c r="P788" s="34"/>
    </row>
    <row r="789" spans="2:16" ht="27.75" customHeight="1">
      <c r="B789" s="25">
        <f t="shared" si="12"/>
        <v>758</v>
      </c>
      <c r="C789" s="42" t="s">
        <v>1027</v>
      </c>
      <c r="D789" s="102" t="s">
        <v>1027</v>
      </c>
      <c r="E789" s="26" t="e">
        <f>VLOOKUP(C789,#REF!,3,0)</f>
        <v>#REF!</v>
      </c>
      <c r="F789" s="215" t="s">
        <v>2895</v>
      </c>
      <c r="G789" s="95" t="s">
        <v>2896</v>
      </c>
      <c r="H789" s="95"/>
      <c r="I789" s="103">
        <v>2</v>
      </c>
      <c r="J789" s="104"/>
      <c r="K789" s="105"/>
      <c r="L789" s="100"/>
      <c r="M789" s="106"/>
      <c r="N789" s="44">
        <v>500</v>
      </c>
      <c r="O789" s="93" t="s">
        <v>2820</v>
      </c>
      <c r="P789" s="34"/>
    </row>
    <row r="790" spans="2:16" ht="27.75" customHeight="1">
      <c r="B790" s="25">
        <f t="shared" si="12"/>
        <v>759</v>
      </c>
      <c r="C790" s="42" t="s">
        <v>85</v>
      </c>
      <c r="D790" s="102" t="s">
        <v>85</v>
      </c>
      <c r="E790" s="26" t="e">
        <f>VLOOKUP(C790,#REF!,3,0)</f>
        <v>#REF!</v>
      </c>
      <c r="F790" s="215" t="s">
        <v>2897</v>
      </c>
      <c r="G790" s="95" t="s">
        <v>2898</v>
      </c>
      <c r="H790" s="95"/>
      <c r="I790" s="107">
        <v>2</v>
      </c>
      <c r="J790" s="104"/>
      <c r="K790" s="105"/>
      <c r="L790" s="100"/>
      <c r="M790" s="106"/>
      <c r="N790" s="44">
        <v>500</v>
      </c>
      <c r="O790" s="93" t="s">
        <v>2820</v>
      </c>
      <c r="P790" s="34"/>
    </row>
    <row r="791" spans="2:16" ht="27.75" customHeight="1">
      <c r="B791" s="25">
        <f t="shared" si="12"/>
        <v>760</v>
      </c>
      <c r="C791" s="42" t="s">
        <v>78</v>
      </c>
      <c r="D791" s="102" t="s">
        <v>78</v>
      </c>
      <c r="E791" s="26" t="e">
        <f>VLOOKUP(C791,#REF!,3,0)</f>
        <v>#REF!</v>
      </c>
      <c r="F791" s="215" t="s">
        <v>2899</v>
      </c>
      <c r="G791" s="95" t="s">
        <v>2900</v>
      </c>
      <c r="H791" s="95"/>
      <c r="I791" s="107">
        <v>2</v>
      </c>
      <c r="J791" s="104"/>
      <c r="K791" s="105"/>
      <c r="L791" s="100"/>
      <c r="M791" s="106"/>
      <c r="N791" s="44">
        <v>500</v>
      </c>
      <c r="O791" s="93" t="s">
        <v>2820</v>
      </c>
      <c r="P791" s="34"/>
    </row>
    <row r="792" spans="2:16" ht="27.75" customHeight="1">
      <c r="B792" s="25">
        <f t="shared" si="12"/>
        <v>761</v>
      </c>
      <c r="C792" s="42" t="s">
        <v>778</v>
      </c>
      <c r="D792" s="102" t="s">
        <v>778</v>
      </c>
      <c r="E792" s="26" t="e">
        <f>VLOOKUP(C792,#REF!,3,0)</f>
        <v>#REF!</v>
      </c>
      <c r="F792" s="215" t="s">
        <v>2901</v>
      </c>
      <c r="G792" s="95" t="s">
        <v>2902</v>
      </c>
      <c r="H792" s="95"/>
      <c r="I792" s="107">
        <v>2</v>
      </c>
      <c r="J792" s="104"/>
      <c r="K792" s="105"/>
      <c r="L792" s="100"/>
      <c r="M792" s="106"/>
      <c r="N792" s="44">
        <v>500</v>
      </c>
      <c r="O792" s="93" t="s">
        <v>2820</v>
      </c>
      <c r="P792" s="34"/>
    </row>
    <row r="793" spans="2:16" ht="27.75" customHeight="1">
      <c r="B793" s="25">
        <f t="shared" si="12"/>
        <v>762</v>
      </c>
      <c r="C793" s="42" t="s">
        <v>2903</v>
      </c>
      <c r="D793" s="102" t="s">
        <v>2903</v>
      </c>
      <c r="E793" s="26" t="e">
        <f>VLOOKUP(C793,#REF!,3,0)</f>
        <v>#REF!</v>
      </c>
      <c r="F793" s="215" t="s">
        <v>2904</v>
      </c>
      <c r="G793" s="95" t="s">
        <v>2905</v>
      </c>
      <c r="H793" s="95"/>
      <c r="I793" s="107">
        <v>2</v>
      </c>
      <c r="J793" s="104"/>
      <c r="K793" s="105"/>
      <c r="L793" s="100"/>
      <c r="M793" s="106"/>
      <c r="N793" s="44">
        <v>500</v>
      </c>
      <c r="O793" s="93" t="s">
        <v>1360</v>
      </c>
      <c r="P793" s="34"/>
    </row>
    <row r="794" spans="2:16" ht="27.75" customHeight="1">
      <c r="B794" s="25">
        <f t="shared" si="12"/>
        <v>763</v>
      </c>
      <c r="C794" s="42" t="s">
        <v>580</v>
      </c>
      <c r="D794" s="94" t="s">
        <v>580</v>
      </c>
      <c r="E794" s="26" t="e">
        <f>VLOOKUP(C794,#REF!,3,0)</f>
        <v>#REF!</v>
      </c>
      <c r="F794" s="215" t="s">
        <v>2906</v>
      </c>
      <c r="G794" s="96" t="s">
        <v>2907</v>
      </c>
      <c r="H794" s="96"/>
      <c r="I794" s="97">
        <v>2</v>
      </c>
      <c r="J794" s="98"/>
      <c r="K794" s="99"/>
      <c r="L794" s="100"/>
      <c r="M794" s="101"/>
      <c r="N794" s="44">
        <v>500</v>
      </c>
      <c r="O794" s="93" t="s">
        <v>1360</v>
      </c>
      <c r="P794" s="34"/>
    </row>
    <row r="795" spans="2:16" ht="27.75" customHeight="1">
      <c r="B795" s="25">
        <f t="shared" si="12"/>
        <v>764</v>
      </c>
      <c r="C795" s="42" t="s">
        <v>630</v>
      </c>
      <c r="D795" s="94" t="s">
        <v>630</v>
      </c>
      <c r="E795" s="26" t="e">
        <f>VLOOKUP(C795,#REF!,3,0)</f>
        <v>#REF!</v>
      </c>
      <c r="F795" s="215" t="s">
        <v>2908</v>
      </c>
      <c r="G795" s="96" t="s">
        <v>2909</v>
      </c>
      <c r="H795" s="96"/>
      <c r="I795" s="97">
        <v>2</v>
      </c>
      <c r="J795" s="98"/>
      <c r="K795" s="99"/>
      <c r="L795" s="100"/>
      <c r="M795" s="101"/>
      <c r="N795" s="44">
        <v>500</v>
      </c>
      <c r="O795" s="93" t="s">
        <v>1360</v>
      </c>
      <c r="P795" s="34"/>
    </row>
    <row r="796" spans="2:16" ht="27.75" customHeight="1">
      <c r="B796" s="25">
        <f t="shared" si="12"/>
        <v>765</v>
      </c>
      <c r="C796" s="42" t="s">
        <v>628</v>
      </c>
      <c r="D796" s="94" t="s">
        <v>628</v>
      </c>
      <c r="E796" s="26" t="e">
        <f>VLOOKUP(C796,#REF!,3,0)</f>
        <v>#REF!</v>
      </c>
      <c r="F796" s="215" t="s">
        <v>2910</v>
      </c>
      <c r="G796" s="96" t="s">
        <v>2911</v>
      </c>
      <c r="H796" s="96"/>
      <c r="I796" s="97">
        <v>2</v>
      </c>
      <c r="J796" s="98"/>
      <c r="K796" s="99"/>
      <c r="L796" s="100"/>
      <c r="M796" s="101"/>
      <c r="N796" s="44">
        <v>500</v>
      </c>
      <c r="O796" s="93" t="s">
        <v>1360</v>
      </c>
      <c r="P796" s="34"/>
    </row>
    <row r="797" spans="2:16" ht="27.75" customHeight="1">
      <c r="B797" s="25">
        <f t="shared" si="12"/>
        <v>766</v>
      </c>
      <c r="C797" s="42" t="s">
        <v>629</v>
      </c>
      <c r="D797" s="94" t="s">
        <v>629</v>
      </c>
      <c r="E797" s="26" t="e">
        <f>VLOOKUP(C797,#REF!,3,0)</f>
        <v>#REF!</v>
      </c>
      <c r="F797" s="215" t="s">
        <v>2912</v>
      </c>
      <c r="G797" s="96" t="s">
        <v>2913</v>
      </c>
      <c r="H797" s="96"/>
      <c r="I797" s="97">
        <v>2</v>
      </c>
      <c r="J797" s="98"/>
      <c r="K797" s="99"/>
      <c r="L797" s="100"/>
      <c r="M797" s="101"/>
      <c r="N797" s="44">
        <v>500</v>
      </c>
      <c r="O797" s="93" t="s">
        <v>1360</v>
      </c>
      <c r="P797" s="34"/>
    </row>
    <row r="798" spans="2:16" ht="27.75" customHeight="1">
      <c r="B798" s="25">
        <f t="shared" si="12"/>
        <v>767</v>
      </c>
      <c r="C798" s="42" t="s">
        <v>576</v>
      </c>
      <c r="D798" s="94" t="s">
        <v>576</v>
      </c>
      <c r="E798" s="26" t="e">
        <f>VLOOKUP(C798,#REF!,3,0)</f>
        <v>#REF!</v>
      </c>
      <c r="F798" s="215" t="s">
        <v>2914</v>
      </c>
      <c r="G798" s="96" t="s">
        <v>2915</v>
      </c>
      <c r="H798" s="96"/>
      <c r="I798" s="97">
        <v>2</v>
      </c>
      <c r="J798" s="98"/>
      <c r="K798" s="99"/>
      <c r="L798" s="100"/>
      <c r="M798" s="101"/>
      <c r="N798" s="44">
        <v>500</v>
      </c>
      <c r="O798" s="93" t="s">
        <v>1360</v>
      </c>
      <c r="P798" s="34"/>
    </row>
    <row r="799" spans="2:16" ht="27.75" customHeight="1">
      <c r="B799" s="25">
        <f t="shared" si="12"/>
        <v>768</v>
      </c>
      <c r="C799" s="42" t="s">
        <v>42</v>
      </c>
      <c r="D799" s="94" t="s">
        <v>42</v>
      </c>
      <c r="E799" s="26" t="e">
        <f>VLOOKUP(C799,#REF!,3,0)</f>
        <v>#REF!</v>
      </c>
      <c r="F799" s="215" t="s">
        <v>2916</v>
      </c>
      <c r="G799" s="96" t="s">
        <v>2701</v>
      </c>
      <c r="H799" s="96"/>
      <c r="I799" s="97">
        <v>2</v>
      </c>
      <c r="J799" s="98"/>
      <c r="K799" s="99"/>
      <c r="L799" s="100"/>
      <c r="M799" s="101"/>
      <c r="N799" s="44">
        <v>500</v>
      </c>
      <c r="O799" s="93" t="s">
        <v>1360</v>
      </c>
      <c r="P799" s="34"/>
    </row>
    <row r="800" spans="2:16" ht="27.75" customHeight="1">
      <c r="B800" s="25">
        <f t="shared" si="12"/>
        <v>769</v>
      </c>
      <c r="C800" s="42" t="s">
        <v>640</v>
      </c>
      <c r="D800" s="94" t="s">
        <v>640</v>
      </c>
      <c r="E800" s="26" t="e">
        <f>VLOOKUP(C800,#REF!,3,0)</f>
        <v>#REF!</v>
      </c>
      <c r="F800" s="215" t="s">
        <v>2917</v>
      </c>
      <c r="G800" s="96" t="s">
        <v>2918</v>
      </c>
      <c r="H800" s="96"/>
      <c r="I800" s="97">
        <v>2</v>
      </c>
      <c r="J800" s="98"/>
      <c r="K800" s="99"/>
      <c r="L800" s="100"/>
      <c r="M800" s="101"/>
      <c r="N800" s="44">
        <v>500</v>
      </c>
      <c r="O800" s="93" t="s">
        <v>1360</v>
      </c>
      <c r="P800" s="34"/>
    </row>
    <row r="801" spans="2:16" ht="27.75" customHeight="1">
      <c r="B801" s="25">
        <f t="shared" si="12"/>
        <v>770</v>
      </c>
      <c r="C801" s="42" t="s">
        <v>2919</v>
      </c>
      <c r="D801" s="102" t="s">
        <v>2919</v>
      </c>
      <c r="E801" s="26" t="e">
        <f>VLOOKUP(C801,#REF!,3,0)</f>
        <v>#REF!</v>
      </c>
      <c r="F801" s="215" t="s">
        <v>2920</v>
      </c>
      <c r="G801" s="95" t="s">
        <v>2921</v>
      </c>
      <c r="H801" s="95"/>
      <c r="I801" s="107">
        <v>2</v>
      </c>
      <c r="J801" s="104"/>
      <c r="K801" s="105"/>
      <c r="L801" s="100"/>
      <c r="M801" s="106"/>
      <c r="N801" s="44">
        <v>500</v>
      </c>
      <c r="O801" s="93"/>
      <c r="P801" s="34"/>
    </row>
    <row r="802" spans="2:16" ht="27.75" customHeight="1">
      <c r="B802" s="25">
        <f t="shared" si="12"/>
        <v>771</v>
      </c>
      <c r="C802" s="42" t="s">
        <v>2922</v>
      </c>
      <c r="D802" s="102" t="s">
        <v>2922</v>
      </c>
      <c r="E802" s="26" t="e">
        <f>VLOOKUP(C802,#REF!,3,0)</f>
        <v>#REF!</v>
      </c>
      <c r="F802" s="215" t="s">
        <v>2923</v>
      </c>
      <c r="G802" s="95" t="s">
        <v>2924</v>
      </c>
      <c r="H802" s="95"/>
      <c r="I802" s="107">
        <v>1</v>
      </c>
      <c r="J802" s="104"/>
      <c r="K802" s="105"/>
      <c r="L802" s="100"/>
      <c r="M802" s="106"/>
      <c r="N802" s="44">
        <v>500</v>
      </c>
      <c r="O802" s="93"/>
      <c r="P802" s="34"/>
    </row>
    <row r="803" spans="2:16" ht="27.75" customHeight="1">
      <c r="B803" s="25">
        <f t="shared" si="12"/>
        <v>772</v>
      </c>
      <c r="C803" s="42" t="s">
        <v>2925</v>
      </c>
      <c r="D803" s="102" t="s">
        <v>2925</v>
      </c>
      <c r="E803" s="26" t="e">
        <f>VLOOKUP(C803,#REF!,3,0)</f>
        <v>#REF!</v>
      </c>
      <c r="F803" s="215" t="s">
        <v>2926</v>
      </c>
      <c r="G803" s="95" t="s">
        <v>2927</v>
      </c>
      <c r="H803" s="95"/>
      <c r="I803" s="107">
        <v>2</v>
      </c>
      <c r="J803" s="104"/>
      <c r="K803" s="105"/>
      <c r="L803" s="100"/>
      <c r="M803" s="106"/>
      <c r="N803" s="44">
        <v>500</v>
      </c>
      <c r="O803" s="93"/>
      <c r="P803" s="34"/>
    </row>
    <row r="804" spans="2:16" ht="27.75" customHeight="1">
      <c r="B804" s="25">
        <f t="shared" si="12"/>
        <v>773</v>
      </c>
      <c r="C804" s="42" t="s">
        <v>594</v>
      </c>
      <c r="D804" s="94" t="s">
        <v>594</v>
      </c>
      <c r="E804" s="26" t="e">
        <f>VLOOKUP(C804,#REF!,3,0)</f>
        <v>#REF!</v>
      </c>
      <c r="F804" s="215" t="s">
        <v>2928</v>
      </c>
      <c r="G804" s="96" t="s">
        <v>2929</v>
      </c>
      <c r="H804" s="96"/>
      <c r="I804" s="97">
        <v>2</v>
      </c>
      <c r="J804" s="98"/>
      <c r="K804" s="99"/>
      <c r="L804" s="100"/>
      <c r="M804" s="101"/>
      <c r="N804" s="44">
        <v>500</v>
      </c>
      <c r="O804" s="93" t="s">
        <v>1360</v>
      </c>
      <c r="P804" s="34"/>
    </row>
    <row r="805" spans="2:16" ht="27.75" customHeight="1">
      <c r="B805" s="25">
        <f t="shared" si="12"/>
        <v>774</v>
      </c>
      <c r="C805" s="42" t="s">
        <v>595</v>
      </c>
      <c r="D805" s="94" t="s">
        <v>595</v>
      </c>
      <c r="E805" s="26" t="e">
        <f>VLOOKUP(C805,#REF!,3,0)</f>
        <v>#REF!</v>
      </c>
      <c r="F805" s="215" t="s">
        <v>2930</v>
      </c>
      <c r="G805" s="96" t="s">
        <v>2931</v>
      </c>
      <c r="H805" s="96"/>
      <c r="I805" s="97">
        <v>2</v>
      </c>
      <c r="J805" s="98"/>
      <c r="K805" s="99"/>
      <c r="L805" s="100"/>
      <c r="M805" s="101"/>
      <c r="N805" s="44">
        <v>500</v>
      </c>
      <c r="O805" s="93" t="s">
        <v>1360</v>
      </c>
      <c r="P805" s="34" t="s">
        <v>2932</v>
      </c>
    </row>
    <row r="806" spans="2:16" ht="27.75" customHeight="1">
      <c r="B806" s="25">
        <f t="shared" si="12"/>
        <v>775</v>
      </c>
      <c r="C806" s="42" t="s">
        <v>581</v>
      </c>
      <c r="D806" s="108" t="s">
        <v>581</v>
      </c>
      <c r="E806" s="26" t="e">
        <f>VLOOKUP(C806,#REF!,3,0)</f>
        <v>#REF!</v>
      </c>
      <c r="F806" s="216" t="s">
        <v>2933</v>
      </c>
      <c r="G806" s="109" t="s">
        <v>2934</v>
      </c>
      <c r="H806" s="109"/>
      <c r="I806" s="110">
        <v>2</v>
      </c>
      <c r="J806" s="111"/>
      <c r="K806" s="112"/>
      <c r="L806" s="100"/>
      <c r="M806" s="113"/>
      <c r="N806" s="44">
        <v>500</v>
      </c>
      <c r="O806" s="93" t="s">
        <v>1360</v>
      </c>
      <c r="P806" s="34"/>
    </row>
    <row r="807" spans="2:16" ht="27.75" customHeight="1">
      <c r="B807" s="25">
        <f t="shared" si="12"/>
        <v>776</v>
      </c>
      <c r="C807" s="42" t="s">
        <v>631</v>
      </c>
      <c r="D807" s="108" t="s">
        <v>631</v>
      </c>
      <c r="E807" s="26" t="e">
        <f>VLOOKUP(C807,#REF!,3,0)</f>
        <v>#REF!</v>
      </c>
      <c r="F807" s="216" t="s">
        <v>2935</v>
      </c>
      <c r="G807" s="109" t="s">
        <v>2936</v>
      </c>
      <c r="H807" s="109"/>
      <c r="I807" s="110">
        <v>2</v>
      </c>
      <c r="J807" s="111"/>
      <c r="K807" s="112"/>
      <c r="L807" s="100"/>
      <c r="M807" s="113"/>
      <c r="N807" s="44">
        <v>500</v>
      </c>
      <c r="O807" s="93" t="s">
        <v>1360</v>
      </c>
      <c r="P807" s="34"/>
    </row>
    <row r="808" spans="2:16" ht="27.75" customHeight="1">
      <c r="B808" s="25">
        <f t="shared" si="12"/>
        <v>777</v>
      </c>
      <c r="C808" s="42" t="s">
        <v>649</v>
      </c>
      <c r="D808" s="108" t="s">
        <v>649</v>
      </c>
      <c r="E808" s="26" t="e">
        <f>VLOOKUP(C808,#REF!,3,0)</f>
        <v>#REF!</v>
      </c>
      <c r="F808" s="216" t="s">
        <v>2937</v>
      </c>
      <c r="G808" s="109" t="s">
        <v>2938</v>
      </c>
      <c r="H808" s="109"/>
      <c r="I808" s="110">
        <v>2</v>
      </c>
      <c r="J808" s="111"/>
      <c r="K808" s="112"/>
      <c r="L808" s="100"/>
      <c r="M808" s="113"/>
      <c r="N808" s="44">
        <v>500</v>
      </c>
      <c r="O808" s="93" t="s">
        <v>1360</v>
      </c>
      <c r="P808" s="34"/>
    </row>
    <row r="809" spans="2:16" ht="27.75" customHeight="1">
      <c r="B809" s="25">
        <f t="shared" si="12"/>
        <v>778</v>
      </c>
      <c r="C809" s="42" t="s">
        <v>632</v>
      </c>
      <c r="D809" s="108" t="s">
        <v>632</v>
      </c>
      <c r="E809" s="26" t="e">
        <f>VLOOKUP(C809,#REF!,3,0)</f>
        <v>#REF!</v>
      </c>
      <c r="F809" s="216" t="s">
        <v>2939</v>
      </c>
      <c r="G809" s="109" t="s">
        <v>2940</v>
      </c>
      <c r="H809" s="109"/>
      <c r="I809" s="110">
        <v>2</v>
      </c>
      <c r="J809" s="111"/>
      <c r="K809" s="112"/>
      <c r="L809" s="100"/>
      <c r="M809" s="113"/>
      <c r="N809" s="44">
        <v>500</v>
      </c>
      <c r="O809" s="93" t="s">
        <v>1360</v>
      </c>
      <c r="P809" s="114" t="s">
        <v>2941</v>
      </c>
    </row>
    <row r="810" spans="2:16" ht="27.75" customHeight="1">
      <c r="B810" s="25">
        <f t="shared" si="12"/>
        <v>779</v>
      </c>
      <c r="C810" s="42" t="s">
        <v>575</v>
      </c>
      <c r="D810" s="108" t="s">
        <v>575</v>
      </c>
      <c r="E810" s="26" t="e">
        <f>VLOOKUP(C810,#REF!,3,0)</f>
        <v>#REF!</v>
      </c>
      <c r="F810" s="216" t="s">
        <v>2942</v>
      </c>
      <c r="G810" s="109" t="s">
        <v>2943</v>
      </c>
      <c r="H810" s="109"/>
      <c r="I810" s="110">
        <v>2</v>
      </c>
      <c r="J810" s="111"/>
      <c r="K810" s="112"/>
      <c r="L810" s="100" t="s">
        <v>1582</v>
      </c>
      <c r="M810" s="113"/>
      <c r="N810" s="44">
        <v>500</v>
      </c>
      <c r="O810" s="93" t="s">
        <v>1360</v>
      </c>
      <c r="P810" s="34"/>
    </row>
    <row r="811" spans="2:16" ht="27.75" customHeight="1">
      <c r="B811" s="25">
        <f t="shared" si="12"/>
        <v>780</v>
      </c>
      <c r="C811" s="42" t="s">
        <v>641</v>
      </c>
      <c r="D811" s="108" t="s">
        <v>641</v>
      </c>
      <c r="E811" s="26" t="e">
        <f>VLOOKUP(C811,#REF!,3,0)</f>
        <v>#REF!</v>
      </c>
      <c r="F811" s="216" t="s">
        <v>2944</v>
      </c>
      <c r="G811" s="109" t="s">
        <v>2945</v>
      </c>
      <c r="H811" s="109"/>
      <c r="I811" s="110">
        <v>2</v>
      </c>
      <c r="J811" s="111"/>
      <c r="K811" s="112"/>
      <c r="L811" s="100" t="s">
        <v>1582</v>
      </c>
      <c r="M811" s="113"/>
      <c r="N811" s="44">
        <v>500</v>
      </c>
      <c r="O811" s="93" t="s">
        <v>1360</v>
      </c>
      <c r="P811" s="34"/>
    </row>
    <row r="812" spans="2:16" ht="27.75" customHeight="1">
      <c r="B812" s="25">
        <f t="shared" si="12"/>
        <v>781</v>
      </c>
      <c r="C812" s="42" t="s">
        <v>643</v>
      </c>
      <c r="D812" s="108" t="s">
        <v>643</v>
      </c>
      <c r="E812" s="26" t="e">
        <f>VLOOKUP(C812,#REF!,3,0)</f>
        <v>#REF!</v>
      </c>
      <c r="F812" s="216" t="s">
        <v>2946</v>
      </c>
      <c r="G812" s="109" t="s">
        <v>2947</v>
      </c>
      <c r="H812" s="109"/>
      <c r="I812" s="110">
        <v>2</v>
      </c>
      <c r="J812" s="111"/>
      <c r="K812" s="112"/>
      <c r="L812" s="100" t="s">
        <v>1582</v>
      </c>
      <c r="M812" s="113"/>
      <c r="N812" s="44">
        <v>500</v>
      </c>
      <c r="O812" s="93" t="s">
        <v>1360</v>
      </c>
      <c r="P812" s="34"/>
    </row>
    <row r="813" spans="2:16" ht="27.75" customHeight="1">
      <c r="B813" s="25">
        <f t="shared" si="12"/>
        <v>782</v>
      </c>
      <c r="C813" s="42" t="s">
        <v>633</v>
      </c>
      <c r="D813" s="108" t="s">
        <v>633</v>
      </c>
      <c r="E813" s="26" t="e">
        <f>VLOOKUP(C813,#REF!,3,0)</f>
        <v>#REF!</v>
      </c>
      <c r="F813" s="216" t="s">
        <v>2948</v>
      </c>
      <c r="G813" s="109" t="s">
        <v>2949</v>
      </c>
      <c r="H813" s="109"/>
      <c r="I813" s="110">
        <v>2</v>
      </c>
      <c r="J813" s="111"/>
      <c r="K813" s="112"/>
      <c r="L813" s="100"/>
      <c r="M813" s="113"/>
      <c r="N813" s="44">
        <v>500</v>
      </c>
      <c r="O813" s="93" t="s">
        <v>1360</v>
      </c>
      <c r="P813" s="34"/>
    </row>
    <row r="814" spans="2:16" ht="27.75" customHeight="1">
      <c r="B814" s="25">
        <f t="shared" si="12"/>
        <v>783</v>
      </c>
      <c r="C814" s="42" t="s">
        <v>651</v>
      </c>
      <c r="D814" s="108" t="s">
        <v>651</v>
      </c>
      <c r="E814" s="26" t="e">
        <f>VLOOKUP(C814,#REF!,3,0)</f>
        <v>#REF!</v>
      </c>
      <c r="F814" s="216" t="s">
        <v>2950</v>
      </c>
      <c r="G814" s="109" t="s">
        <v>2951</v>
      </c>
      <c r="H814" s="109"/>
      <c r="I814" s="110">
        <v>2</v>
      </c>
      <c r="J814" s="111"/>
      <c r="K814" s="112"/>
      <c r="L814" s="100" t="s">
        <v>1582</v>
      </c>
      <c r="M814" s="113"/>
      <c r="N814" s="44">
        <v>500</v>
      </c>
      <c r="O814" s="93" t="s">
        <v>1360</v>
      </c>
      <c r="P814" s="34"/>
    </row>
    <row r="815" spans="2:16" ht="27.75" customHeight="1">
      <c r="B815" s="25">
        <f t="shared" si="12"/>
        <v>784</v>
      </c>
      <c r="C815" s="42" t="s">
        <v>614</v>
      </c>
      <c r="D815" s="108" t="s">
        <v>614</v>
      </c>
      <c r="E815" s="26" t="e">
        <f>VLOOKUP(C815,#REF!,3,0)</f>
        <v>#REF!</v>
      </c>
      <c r="F815" s="216" t="s">
        <v>2952</v>
      </c>
      <c r="G815" s="109" t="s">
        <v>2953</v>
      </c>
      <c r="H815" s="109"/>
      <c r="I815" s="110">
        <v>2</v>
      </c>
      <c r="J815" s="111"/>
      <c r="K815" s="112"/>
      <c r="L815" s="100"/>
      <c r="M815" s="113"/>
      <c r="N815" s="44">
        <v>500</v>
      </c>
      <c r="O815" s="93" t="s">
        <v>1360</v>
      </c>
      <c r="P815" s="34"/>
    </row>
    <row r="816" spans="2:16" ht="27.75" customHeight="1">
      <c r="B816" s="25">
        <f t="shared" si="12"/>
        <v>785</v>
      </c>
      <c r="C816" s="42" t="s">
        <v>572</v>
      </c>
      <c r="D816" s="108" t="s">
        <v>572</v>
      </c>
      <c r="E816" s="26" t="e">
        <f>VLOOKUP(C816,#REF!,3,0)</f>
        <v>#REF!</v>
      </c>
      <c r="F816" s="216" t="s">
        <v>2954</v>
      </c>
      <c r="G816" s="109" t="s">
        <v>2955</v>
      </c>
      <c r="H816" s="109"/>
      <c r="I816" s="110">
        <v>2</v>
      </c>
      <c r="J816" s="111"/>
      <c r="K816" s="112"/>
      <c r="L816" s="100"/>
      <c r="M816" s="113"/>
      <c r="N816" s="44">
        <v>500</v>
      </c>
      <c r="O816" s="93" t="s">
        <v>1360</v>
      </c>
      <c r="P816" s="34" t="s">
        <v>1665</v>
      </c>
    </row>
    <row r="817" spans="2:16" ht="27.75" customHeight="1">
      <c r="B817" s="25">
        <f t="shared" si="12"/>
        <v>786</v>
      </c>
      <c r="C817" s="42" t="s">
        <v>571</v>
      </c>
      <c r="D817" s="108" t="s">
        <v>571</v>
      </c>
      <c r="E817" s="26" t="e">
        <f>VLOOKUP(C817,#REF!,3,0)</f>
        <v>#REF!</v>
      </c>
      <c r="F817" s="216" t="s">
        <v>2956</v>
      </c>
      <c r="G817" s="109" t="s">
        <v>2957</v>
      </c>
      <c r="H817" s="109"/>
      <c r="I817" s="110">
        <v>2</v>
      </c>
      <c r="J817" s="111"/>
      <c r="K817" s="112"/>
      <c r="L817" s="100" t="s">
        <v>1582</v>
      </c>
      <c r="M817" s="113"/>
      <c r="N817" s="44">
        <v>500</v>
      </c>
      <c r="O817" s="93" t="s">
        <v>1360</v>
      </c>
      <c r="P817" s="34" t="s">
        <v>2958</v>
      </c>
    </row>
    <row r="818" spans="2:16" ht="27.75" customHeight="1">
      <c r="B818" s="25">
        <f t="shared" si="12"/>
        <v>787</v>
      </c>
      <c r="C818" s="42" t="s">
        <v>565</v>
      </c>
      <c r="D818" s="108" t="s">
        <v>565</v>
      </c>
      <c r="E818" s="26" t="e">
        <f>VLOOKUP(C818,#REF!,3,0)</f>
        <v>#REF!</v>
      </c>
      <c r="F818" s="216" t="s">
        <v>2959</v>
      </c>
      <c r="G818" s="109" t="s">
        <v>2960</v>
      </c>
      <c r="H818" s="109"/>
      <c r="I818" s="110">
        <v>2</v>
      </c>
      <c r="J818" s="111"/>
      <c r="K818" s="112"/>
      <c r="L818" s="100"/>
      <c r="M818" s="113"/>
      <c r="N818" s="44">
        <v>500</v>
      </c>
      <c r="O818" s="93" t="s">
        <v>1360</v>
      </c>
      <c r="P818" s="34"/>
    </row>
    <row r="819" spans="2:16" ht="27.75" customHeight="1">
      <c r="B819" s="25">
        <f t="shared" si="12"/>
        <v>788</v>
      </c>
      <c r="C819" s="42" t="s">
        <v>564</v>
      </c>
      <c r="D819" s="108" t="s">
        <v>564</v>
      </c>
      <c r="E819" s="26" t="e">
        <f>VLOOKUP(C819,#REF!,3,0)</f>
        <v>#REF!</v>
      </c>
      <c r="F819" s="216" t="s">
        <v>2961</v>
      </c>
      <c r="G819" s="109" t="s">
        <v>2962</v>
      </c>
      <c r="H819" s="109"/>
      <c r="I819" s="110">
        <v>2</v>
      </c>
      <c r="J819" s="111"/>
      <c r="K819" s="112"/>
      <c r="L819" s="100"/>
      <c r="M819" s="113"/>
      <c r="N819" s="44">
        <v>500</v>
      </c>
      <c r="O819" s="93" t="s">
        <v>1360</v>
      </c>
      <c r="P819" s="34"/>
    </row>
    <row r="820" spans="2:16" ht="27.75" customHeight="1">
      <c r="B820" s="25">
        <f t="shared" si="12"/>
        <v>789</v>
      </c>
      <c r="C820" s="42" t="s">
        <v>563</v>
      </c>
      <c r="D820" s="108" t="s">
        <v>563</v>
      </c>
      <c r="E820" s="26" t="e">
        <f>VLOOKUP(C820,#REF!,3,0)</f>
        <v>#REF!</v>
      </c>
      <c r="F820" s="216" t="s">
        <v>2963</v>
      </c>
      <c r="G820" s="109" t="s">
        <v>2964</v>
      </c>
      <c r="H820" s="109"/>
      <c r="I820" s="110">
        <v>2</v>
      </c>
      <c r="J820" s="111"/>
      <c r="K820" s="112"/>
      <c r="L820" s="100"/>
      <c r="M820" s="113"/>
      <c r="N820" s="44">
        <v>500</v>
      </c>
      <c r="O820" s="93" t="s">
        <v>1360</v>
      </c>
      <c r="P820" s="34"/>
    </row>
    <row r="821" spans="2:16" ht="27.75" customHeight="1">
      <c r="B821" s="25">
        <f t="shared" si="12"/>
        <v>790</v>
      </c>
      <c r="C821" s="42" t="s">
        <v>566</v>
      </c>
      <c r="D821" s="108" t="s">
        <v>566</v>
      </c>
      <c r="E821" s="26" t="e">
        <f>VLOOKUP(C821,#REF!,3,0)</f>
        <v>#REF!</v>
      </c>
      <c r="F821" s="216" t="s">
        <v>2965</v>
      </c>
      <c r="G821" s="109" t="s">
        <v>2966</v>
      </c>
      <c r="H821" s="109"/>
      <c r="I821" s="110">
        <v>2</v>
      </c>
      <c r="J821" s="111"/>
      <c r="K821" s="112"/>
      <c r="L821" s="100"/>
      <c r="M821" s="113"/>
      <c r="N821" s="44">
        <v>500</v>
      </c>
      <c r="O821" s="93" t="s">
        <v>1360</v>
      </c>
      <c r="P821" s="34"/>
    </row>
    <row r="822" spans="2:16" ht="27.75" customHeight="1">
      <c r="B822" s="25">
        <f t="shared" si="12"/>
        <v>791</v>
      </c>
      <c r="C822" s="42" t="s">
        <v>652</v>
      </c>
      <c r="D822" s="108" t="s">
        <v>652</v>
      </c>
      <c r="E822" s="26" t="e">
        <f>VLOOKUP(C822,#REF!,3,0)</f>
        <v>#REF!</v>
      </c>
      <c r="F822" s="216" t="s">
        <v>2967</v>
      </c>
      <c r="G822" s="109" t="s">
        <v>2968</v>
      </c>
      <c r="H822" s="109"/>
      <c r="I822" s="110">
        <v>2</v>
      </c>
      <c r="J822" s="111"/>
      <c r="K822" s="112"/>
      <c r="L822" s="100"/>
      <c r="M822" s="113"/>
      <c r="N822" s="44">
        <v>500</v>
      </c>
      <c r="O822" s="93" t="s">
        <v>1360</v>
      </c>
      <c r="P822" s="115" t="s">
        <v>2969</v>
      </c>
    </row>
    <row r="823" spans="2:16" ht="27.75" customHeight="1">
      <c r="B823" s="25">
        <f t="shared" si="12"/>
        <v>792</v>
      </c>
      <c r="C823" s="42" t="s">
        <v>623</v>
      </c>
      <c r="D823" s="108" t="s">
        <v>623</v>
      </c>
      <c r="E823" s="26" t="e">
        <f>VLOOKUP(C823,#REF!,3,0)</f>
        <v>#REF!</v>
      </c>
      <c r="F823" s="216" t="s">
        <v>2970</v>
      </c>
      <c r="G823" s="109" t="s">
        <v>2971</v>
      </c>
      <c r="H823" s="109"/>
      <c r="I823" s="110">
        <v>2</v>
      </c>
      <c r="J823" s="111"/>
      <c r="K823" s="112"/>
      <c r="L823" s="100"/>
      <c r="M823" s="113"/>
      <c r="N823" s="44">
        <v>500</v>
      </c>
      <c r="O823" s="93" t="s">
        <v>1360</v>
      </c>
      <c r="P823" s="34" t="s">
        <v>2972</v>
      </c>
    </row>
    <row r="824" spans="2:16" ht="27.75" customHeight="1">
      <c r="B824" s="25">
        <f t="shared" si="12"/>
        <v>793</v>
      </c>
      <c r="C824" s="42" t="s">
        <v>577</v>
      </c>
      <c r="D824" s="108" t="s">
        <v>577</v>
      </c>
      <c r="E824" s="26" t="e">
        <f>VLOOKUP(C824,#REF!,3,0)</f>
        <v>#REF!</v>
      </c>
      <c r="F824" s="216" t="s">
        <v>2973</v>
      </c>
      <c r="G824" s="109" t="s">
        <v>2974</v>
      </c>
      <c r="H824" s="109"/>
      <c r="I824" s="110">
        <v>2</v>
      </c>
      <c r="J824" s="111"/>
      <c r="K824" s="112"/>
      <c r="L824" s="100" t="s">
        <v>1582</v>
      </c>
      <c r="M824" s="113"/>
      <c r="N824" s="44">
        <v>500</v>
      </c>
      <c r="O824" s="93" t="s">
        <v>1360</v>
      </c>
      <c r="P824" s="115" t="s">
        <v>2975</v>
      </c>
    </row>
    <row r="825" spans="2:16" ht="27.75" customHeight="1">
      <c r="B825" s="25">
        <f t="shared" si="12"/>
        <v>794</v>
      </c>
      <c r="C825" s="42" t="s">
        <v>657</v>
      </c>
      <c r="D825" s="108" t="s">
        <v>657</v>
      </c>
      <c r="E825" s="26" t="e">
        <f>VLOOKUP(C825,#REF!,3,0)</f>
        <v>#REF!</v>
      </c>
      <c r="F825" s="216" t="s">
        <v>2976</v>
      </c>
      <c r="G825" s="109" t="s">
        <v>2977</v>
      </c>
      <c r="H825" s="109"/>
      <c r="I825" s="110">
        <v>2</v>
      </c>
      <c r="J825" s="111"/>
      <c r="K825" s="112"/>
      <c r="L825" s="100" t="s">
        <v>1582</v>
      </c>
      <c r="M825" s="113"/>
      <c r="N825" s="44">
        <v>500</v>
      </c>
      <c r="O825" s="93" t="s">
        <v>1360</v>
      </c>
      <c r="P825" s="34" t="s">
        <v>2978</v>
      </c>
    </row>
    <row r="826" spans="2:16" ht="27.75" customHeight="1">
      <c r="B826" s="25">
        <f t="shared" si="12"/>
        <v>795</v>
      </c>
      <c r="C826" s="42" t="s">
        <v>626</v>
      </c>
      <c r="D826" s="108" t="s">
        <v>626</v>
      </c>
      <c r="E826" s="26" t="e">
        <f>VLOOKUP(C826,#REF!,3,0)</f>
        <v>#REF!</v>
      </c>
      <c r="F826" s="216" t="s">
        <v>2979</v>
      </c>
      <c r="G826" s="109" t="s">
        <v>2980</v>
      </c>
      <c r="H826" s="109"/>
      <c r="I826" s="110">
        <v>2</v>
      </c>
      <c r="J826" s="111"/>
      <c r="K826" s="112"/>
      <c r="L826" s="100" t="s">
        <v>1582</v>
      </c>
      <c r="M826" s="113"/>
      <c r="N826" s="44">
        <v>500</v>
      </c>
      <c r="O826" s="93" t="s">
        <v>1360</v>
      </c>
      <c r="P826" s="34"/>
    </row>
    <row r="827" spans="2:16" ht="27.75" customHeight="1">
      <c r="B827" s="25">
        <f t="shared" si="12"/>
        <v>796</v>
      </c>
      <c r="C827" s="42" t="s">
        <v>627</v>
      </c>
      <c r="D827" s="108" t="s">
        <v>627</v>
      </c>
      <c r="E827" s="26" t="e">
        <f>VLOOKUP(C827,#REF!,3,0)</f>
        <v>#REF!</v>
      </c>
      <c r="F827" s="216" t="s">
        <v>2981</v>
      </c>
      <c r="G827" s="109" t="s">
        <v>2982</v>
      </c>
      <c r="H827" s="109"/>
      <c r="I827" s="110">
        <v>2</v>
      </c>
      <c r="J827" s="111"/>
      <c r="K827" s="112"/>
      <c r="L827" s="100" t="s">
        <v>1582</v>
      </c>
      <c r="M827" s="113"/>
      <c r="N827" s="44">
        <v>500</v>
      </c>
      <c r="O827" s="93" t="s">
        <v>1360</v>
      </c>
      <c r="P827" s="34"/>
    </row>
    <row r="828" spans="2:16" ht="27.75" customHeight="1">
      <c r="B828" s="25">
        <f t="shared" si="12"/>
        <v>797</v>
      </c>
      <c r="C828" s="42" t="s">
        <v>570</v>
      </c>
      <c r="D828" s="108" t="s">
        <v>570</v>
      </c>
      <c r="E828" s="26" t="e">
        <f>VLOOKUP(C828,#REF!,3,0)</f>
        <v>#REF!</v>
      </c>
      <c r="F828" s="216" t="s">
        <v>2983</v>
      </c>
      <c r="G828" s="109" t="s">
        <v>2640</v>
      </c>
      <c r="H828" s="109"/>
      <c r="I828" s="110">
        <v>2</v>
      </c>
      <c r="J828" s="111"/>
      <c r="K828" s="112"/>
      <c r="L828" s="100" t="s">
        <v>1582</v>
      </c>
      <c r="M828" s="113"/>
      <c r="N828" s="44">
        <v>500</v>
      </c>
      <c r="O828" s="93" t="s">
        <v>1360</v>
      </c>
      <c r="P828" s="115" t="s">
        <v>2984</v>
      </c>
    </row>
    <row r="829" spans="2:16" ht="27.75" customHeight="1">
      <c r="B829" s="25">
        <f t="shared" si="12"/>
        <v>798</v>
      </c>
      <c r="C829" s="42" t="s">
        <v>418</v>
      </c>
      <c r="D829" s="108" t="s">
        <v>418</v>
      </c>
      <c r="E829" s="26" t="e">
        <f>VLOOKUP(C829,#REF!,3,0)</f>
        <v>#REF!</v>
      </c>
      <c r="F829" s="216" t="s">
        <v>2985</v>
      </c>
      <c r="G829" s="109" t="s">
        <v>2986</v>
      </c>
      <c r="H829" s="109"/>
      <c r="I829" s="110">
        <v>2</v>
      </c>
      <c r="J829" s="111"/>
      <c r="K829" s="112"/>
      <c r="L829" s="100" t="s">
        <v>1582</v>
      </c>
      <c r="M829" s="113"/>
      <c r="N829" s="44">
        <v>500</v>
      </c>
      <c r="O829" s="93" t="s">
        <v>1360</v>
      </c>
      <c r="P829" s="34"/>
    </row>
    <row r="830" spans="2:16" ht="27.75" customHeight="1">
      <c r="B830" s="25">
        <f t="shared" si="12"/>
        <v>799</v>
      </c>
      <c r="C830" s="42" t="s">
        <v>441</v>
      </c>
      <c r="D830" s="108" t="s">
        <v>441</v>
      </c>
      <c r="E830" s="26" t="e">
        <f>VLOOKUP(C830,#REF!,3,0)</f>
        <v>#REF!</v>
      </c>
      <c r="F830" s="216" t="s">
        <v>2987</v>
      </c>
      <c r="G830" s="109" t="s">
        <v>2988</v>
      </c>
      <c r="H830" s="109"/>
      <c r="I830" s="110">
        <v>2</v>
      </c>
      <c r="J830" s="111"/>
      <c r="K830" s="112"/>
      <c r="L830" s="100"/>
      <c r="M830" s="113"/>
      <c r="N830" s="44">
        <v>500</v>
      </c>
      <c r="O830" s="93" t="s">
        <v>1360</v>
      </c>
      <c r="P830" s="34"/>
    </row>
    <row r="831" spans="2:16" ht="27.75" customHeight="1">
      <c r="B831" s="25">
        <f t="shared" si="12"/>
        <v>800</v>
      </c>
      <c r="C831" s="42" t="s">
        <v>489</v>
      </c>
      <c r="D831" s="108" t="s">
        <v>489</v>
      </c>
      <c r="E831" s="26" t="e">
        <f>VLOOKUP(C831,#REF!,3,0)</f>
        <v>#REF!</v>
      </c>
      <c r="F831" s="216" t="s">
        <v>2989</v>
      </c>
      <c r="G831" s="109" t="s">
        <v>2990</v>
      </c>
      <c r="H831" s="109"/>
      <c r="I831" s="110">
        <v>2</v>
      </c>
      <c r="J831" s="111"/>
      <c r="K831" s="112"/>
      <c r="L831" s="100"/>
      <c r="M831" s="113"/>
      <c r="N831" s="44">
        <v>500</v>
      </c>
      <c r="O831" s="93" t="s">
        <v>1360</v>
      </c>
      <c r="P831" s="34"/>
    </row>
    <row r="832" spans="2:16" ht="27.75" customHeight="1">
      <c r="B832" s="25">
        <f t="shared" si="12"/>
        <v>801</v>
      </c>
      <c r="C832" s="42" t="s">
        <v>419</v>
      </c>
      <c r="D832" s="108" t="s">
        <v>419</v>
      </c>
      <c r="E832" s="26" t="e">
        <f>VLOOKUP(C832,#REF!,3,0)</f>
        <v>#REF!</v>
      </c>
      <c r="F832" s="216" t="s">
        <v>2991</v>
      </c>
      <c r="G832" s="109" t="s">
        <v>2992</v>
      </c>
      <c r="H832" s="109"/>
      <c r="I832" s="110">
        <v>2</v>
      </c>
      <c r="J832" s="111"/>
      <c r="K832" s="112"/>
      <c r="L832" s="100"/>
      <c r="M832" s="113"/>
      <c r="N832" s="44">
        <v>500</v>
      </c>
      <c r="O832" s="93" t="s">
        <v>1360</v>
      </c>
      <c r="P832" s="34"/>
    </row>
    <row r="833" spans="2:16" ht="27.75" customHeight="1">
      <c r="B833" s="25">
        <f t="shared" si="12"/>
        <v>802</v>
      </c>
      <c r="C833" s="42" t="s">
        <v>462</v>
      </c>
      <c r="D833" s="94" t="s">
        <v>462</v>
      </c>
      <c r="E833" s="26" t="e">
        <f>VLOOKUP(C833,#REF!,3,0)</f>
        <v>#REF!</v>
      </c>
      <c r="F833" s="215" t="s">
        <v>2993</v>
      </c>
      <c r="G833" s="96" t="s">
        <v>2994</v>
      </c>
      <c r="H833" s="96"/>
      <c r="I833" s="97">
        <v>2</v>
      </c>
      <c r="J833" s="98"/>
      <c r="K833" s="99"/>
      <c r="L833" s="100"/>
      <c r="M833" s="101"/>
      <c r="N833" s="44">
        <v>500</v>
      </c>
      <c r="O833" s="93" t="s">
        <v>1360</v>
      </c>
      <c r="P833" s="34"/>
    </row>
    <row r="834" spans="2:16" ht="27.75" customHeight="1">
      <c r="B834" s="25">
        <f t="shared" si="12"/>
        <v>803</v>
      </c>
      <c r="C834" s="42" t="s">
        <v>503</v>
      </c>
      <c r="D834" s="94" t="s">
        <v>503</v>
      </c>
      <c r="E834" s="26" t="e">
        <f>VLOOKUP(C834,#REF!,3,0)</f>
        <v>#REF!</v>
      </c>
      <c r="F834" s="215" t="s">
        <v>2995</v>
      </c>
      <c r="G834" s="96" t="s">
        <v>2996</v>
      </c>
      <c r="H834" s="96"/>
      <c r="I834" s="97">
        <v>2</v>
      </c>
      <c r="J834" s="98"/>
      <c r="K834" s="99"/>
      <c r="L834" s="100"/>
      <c r="M834" s="101"/>
      <c r="N834" s="44">
        <v>500</v>
      </c>
      <c r="O834" s="93" t="s">
        <v>1360</v>
      </c>
      <c r="P834" s="34"/>
    </row>
    <row r="835" spans="2:16" ht="27.75" customHeight="1">
      <c r="B835" s="25">
        <f t="shared" si="12"/>
        <v>804</v>
      </c>
      <c r="C835" s="42" t="s">
        <v>463</v>
      </c>
      <c r="D835" s="94" t="s">
        <v>463</v>
      </c>
      <c r="E835" s="26" t="e">
        <f>VLOOKUP(C835,#REF!,3,0)</f>
        <v>#REF!</v>
      </c>
      <c r="F835" s="215" t="s">
        <v>2997</v>
      </c>
      <c r="G835" s="96" t="s">
        <v>2998</v>
      </c>
      <c r="H835" s="96"/>
      <c r="I835" s="97">
        <v>2</v>
      </c>
      <c r="J835" s="98"/>
      <c r="K835" s="99"/>
      <c r="L835" s="100" t="s">
        <v>1582</v>
      </c>
      <c r="M835" s="101"/>
      <c r="N835" s="44">
        <v>500</v>
      </c>
      <c r="O835" s="93" t="s">
        <v>1360</v>
      </c>
      <c r="P835" s="34"/>
    </row>
    <row r="836" spans="2:16" ht="27.75" customHeight="1">
      <c r="B836" s="25">
        <f t="shared" si="12"/>
        <v>805</v>
      </c>
      <c r="C836" s="42" t="s">
        <v>464</v>
      </c>
      <c r="D836" s="94" t="s">
        <v>464</v>
      </c>
      <c r="E836" s="26" t="e">
        <f>VLOOKUP(C836,#REF!,3,0)</f>
        <v>#REF!</v>
      </c>
      <c r="F836" s="215" t="s">
        <v>2999</v>
      </c>
      <c r="G836" s="96" t="s">
        <v>3000</v>
      </c>
      <c r="H836" s="96"/>
      <c r="I836" s="97">
        <v>2</v>
      </c>
      <c r="J836" s="98"/>
      <c r="K836" s="99"/>
      <c r="L836" s="100" t="s">
        <v>1582</v>
      </c>
      <c r="M836" s="101"/>
      <c r="N836" s="44">
        <v>500</v>
      </c>
      <c r="O836" s="93" t="s">
        <v>1360</v>
      </c>
      <c r="P836" s="34" t="s">
        <v>2147</v>
      </c>
    </row>
    <row r="837" spans="2:16" ht="27.75" customHeight="1">
      <c r="B837" s="25">
        <f t="shared" si="12"/>
        <v>806</v>
      </c>
      <c r="C837" s="42" t="s">
        <v>420</v>
      </c>
      <c r="D837" s="94" t="s">
        <v>420</v>
      </c>
      <c r="E837" s="26" t="e">
        <f>VLOOKUP(C837,#REF!,3,0)</f>
        <v>#REF!</v>
      </c>
      <c r="F837" s="215" t="s">
        <v>3001</v>
      </c>
      <c r="G837" s="96" t="s">
        <v>3002</v>
      </c>
      <c r="H837" s="96"/>
      <c r="I837" s="97">
        <v>2</v>
      </c>
      <c r="J837" s="98"/>
      <c r="K837" s="99"/>
      <c r="L837" s="100"/>
      <c r="M837" s="101"/>
      <c r="N837" s="44">
        <v>500</v>
      </c>
      <c r="O837" s="93" t="s">
        <v>1360</v>
      </c>
      <c r="P837" s="34"/>
    </row>
    <row r="838" spans="2:16" ht="27.75" customHeight="1">
      <c r="B838" s="25">
        <f t="shared" si="12"/>
        <v>807</v>
      </c>
      <c r="C838" s="42" t="s">
        <v>465</v>
      </c>
      <c r="D838" s="94" t="s">
        <v>465</v>
      </c>
      <c r="E838" s="26" t="e">
        <f>VLOOKUP(C838,#REF!,3,0)</f>
        <v>#REF!</v>
      </c>
      <c r="F838" s="215" t="s">
        <v>3003</v>
      </c>
      <c r="G838" s="96" t="s">
        <v>3004</v>
      </c>
      <c r="H838" s="96"/>
      <c r="I838" s="97">
        <v>2</v>
      </c>
      <c r="J838" s="98"/>
      <c r="K838" s="99"/>
      <c r="L838" s="100"/>
      <c r="M838" s="101"/>
      <c r="N838" s="44">
        <v>500</v>
      </c>
      <c r="O838" s="93" t="s">
        <v>1360</v>
      </c>
      <c r="P838" s="34"/>
    </row>
    <row r="839" spans="2:16" ht="27.75" customHeight="1">
      <c r="B839" s="25">
        <f t="shared" ref="B839:B902" si="13">B838+1</f>
        <v>808</v>
      </c>
      <c r="C839" s="42" t="s">
        <v>601</v>
      </c>
      <c r="D839" s="94" t="s">
        <v>601</v>
      </c>
      <c r="E839" s="26" t="e">
        <f>VLOOKUP(C839,#REF!,3,0)</f>
        <v>#REF!</v>
      </c>
      <c r="F839" s="215" t="s">
        <v>3005</v>
      </c>
      <c r="G839" s="96" t="s">
        <v>3006</v>
      </c>
      <c r="H839" s="96"/>
      <c r="I839" s="97">
        <v>2</v>
      </c>
      <c r="J839" s="98"/>
      <c r="K839" s="99"/>
      <c r="L839" s="100" t="s">
        <v>1582</v>
      </c>
      <c r="M839" s="101"/>
      <c r="N839" s="44">
        <v>500</v>
      </c>
      <c r="O839" s="93" t="s">
        <v>1360</v>
      </c>
      <c r="P839" s="34"/>
    </row>
    <row r="840" spans="2:16" ht="27.75" customHeight="1">
      <c r="B840" s="25">
        <f t="shared" si="13"/>
        <v>809</v>
      </c>
      <c r="C840" s="42" t="s">
        <v>602</v>
      </c>
      <c r="D840" s="94" t="s">
        <v>602</v>
      </c>
      <c r="E840" s="26" t="e">
        <f>VLOOKUP(C840,#REF!,3,0)</f>
        <v>#REF!</v>
      </c>
      <c r="F840" s="215" t="s">
        <v>3007</v>
      </c>
      <c r="G840" s="96" t="s">
        <v>3008</v>
      </c>
      <c r="H840" s="96"/>
      <c r="I840" s="97">
        <v>2</v>
      </c>
      <c r="J840" s="98"/>
      <c r="K840" s="99"/>
      <c r="L840" s="100"/>
      <c r="M840" s="101"/>
      <c r="N840" s="44">
        <v>500</v>
      </c>
      <c r="O840" s="93" t="s">
        <v>1360</v>
      </c>
      <c r="P840" s="34"/>
    </row>
    <row r="841" spans="2:16" ht="27.75" customHeight="1">
      <c r="B841" s="25">
        <f t="shared" si="13"/>
        <v>810</v>
      </c>
      <c r="C841" s="42" t="s">
        <v>603</v>
      </c>
      <c r="D841" s="94" t="s">
        <v>603</v>
      </c>
      <c r="E841" s="26" t="e">
        <f>VLOOKUP(C841,#REF!,3,0)</f>
        <v>#REF!</v>
      </c>
      <c r="F841" s="215" t="s">
        <v>3009</v>
      </c>
      <c r="G841" s="96" t="s">
        <v>3010</v>
      </c>
      <c r="H841" s="96"/>
      <c r="I841" s="97">
        <v>2</v>
      </c>
      <c r="J841" s="98"/>
      <c r="K841" s="99"/>
      <c r="L841" s="100"/>
      <c r="M841" s="101"/>
      <c r="N841" s="44">
        <v>500</v>
      </c>
      <c r="O841" s="93" t="s">
        <v>1360</v>
      </c>
      <c r="P841" s="34" t="s">
        <v>2214</v>
      </c>
    </row>
    <row r="842" spans="2:16" ht="27.75" customHeight="1">
      <c r="B842" s="25">
        <f t="shared" si="13"/>
        <v>811</v>
      </c>
      <c r="C842" s="42" t="s">
        <v>598</v>
      </c>
      <c r="D842" s="94" t="s">
        <v>598</v>
      </c>
      <c r="E842" s="26" t="e">
        <f>VLOOKUP(C842,#REF!,3,0)</f>
        <v>#REF!</v>
      </c>
      <c r="F842" s="215" t="s">
        <v>3011</v>
      </c>
      <c r="G842" s="96" t="s">
        <v>3012</v>
      </c>
      <c r="H842" s="96"/>
      <c r="I842" s="97">
        <v>2</v>
      </c>
      <c r="J842" s="98"/>
      <c r="K842" s="99"/>
      <c r="L842" s="100" t="s">
        <v>1582</v>
      </c>
      <c r="M842" s="101"/>
      <c r="N842" s="44">
        <v>500</v>
      </c>
      <c r="O842" s="93" t="s">
        <v>1360</v>
      </c>
      <c r="P842" s="115" t="s">
        <v>3013</v>
      </c>
    </row>
    <row r="843" spans="2:16" ht="27.75" customHeight="1">
      <c r="B843" s="25">
        <f t="shared" si="13"/>
        <v>812</v>
      </c>
      <c r="C843" s="42" t="s">
        <v>608</v>
      </c>
      <c r="D843" s="94" t="s">
        <v>608</v>
      </c>
      <c r="E843" s="26" t="e">
        <f>VLOOKUP(C843,#REF!,3,0)</f>
        <v>#REF!</v>
      </c>
      <c r="F843" s="215" t="s">
        <v>3014</v>
      </c>
      <c r="G843" s="96" t="s">
        <v>3015</v>
      </c>
      <c r="H843" s="96"/>
      <c r="I843" s="97">
        <v>2</v>
      </c>
      <c r="J843" s="98"/>
      <c r="K843" s="99"/>
      <c r="L843" s="100" t="s">
        <v>1582</v>
      </c>
      <c r="M843" s="101"/>
      <c r="N843" s="44">
        <v>500</v>
      </c>
      <c r="O843" s="93" t="s">
        <v>1360</v>
      </c>
      <c r="P843" s="34"/>
    </row>
    <row r="844" spans="2:16" ht="27.75" customHeight="1">
      <c r="B844" s="25">
        <f t="shared" si="13"/>
        <v>813</v>
      </c>
      <c r="C844" s="42" t="s">
        <v>606</v>
      </c>
      <c r="D844" s="94" t="s">
        <v>606</v>
      </c>
      <c r="E844" s="26" t="e">
        <f>VLOOKUP(C844,#REF!,3,0)</f>
        <v>#REF!</v>
      </c>
      <c r="F844" s="215" t="s">
        <v>3016</v>
      </c>
      <c r="G844" s="96" t="s">
        <v>3017</v>
      </c>
      <c r="H844" s="96"/>
      <c r="I844" s="97">
        <v>2</v>
      </c>
      <c r="J844" s="98"/>
      <c r="K844" s="99"/>
      <c r="L844" s="100" t="s">
        <v>1582</v>
      </c>
      <c r="M844" s="101"/>
      <c r="N844" s="44">
        <v>500</v>
      </c>
      <c r="O844" s="93" t="s">
        <v>1360</v>
      </c>
      <c r="P844" s="115" t="s">
        <v>3018</v>
      </c>
    </row>
    <row r="845" spans="2:16" ht="27.75" customHeight="1">
      <c r="B845" s="25">
        <f t="shared" si="13"/>
        <v>814</v>
      </c>
      <c r="C845" s="42" t="s">
        <v>600</v>
      </c>
      <c r="D845" s="94" t="s">
        <v>600</v>
      </c>
      <c r="E845" s="26" t="e">
        <f>VLOOKUP(C845,#REF!,3,0)</f>
        <v>#REF!</v>
      </c>
      <c r="F845" s="215" t="s">
        <v>3019</v>
      </c>
      <c r="G845" s="96" t="s">
        <v>3020</v>
      </c>
      <c r="H845" s="96"/>
      <c r="I845" s="97">
        <v>2</v>
      </c>
      <c r="J845" s="98"/>
      <c r="K845" s="99"/>
      <c r="L845" s="100" t="s">
        <v>1582</v>
      </c>
      <c r="M845" s="101"/>
      <c r="N845" s="44">
        <v>500</v>
      </c>
      <c r="O845" s="93" t="s">
        <v>1360</v>
      </c>
      <c r="P845" s="114" t="s">
        <v>3021</v>
      </c>
    </row>
    <row r="846" spans="2:16" ht="27.75" customHeight="1">
      <c r="B846" s="25">
        <f t="shared" si="13"/>
        <v>815</v>
      </c>
      <c r="C846" s="42" t="s">
        <v>609</v>
      </c>
      <c r="D846" s="94" t="s">
        <v>609</v>
      </c>
      <c r="E846" s="26" t="e">
        <f>VLOOKUP(C846,#REF!,3,0)</f>
        <v>#REF!</v>
      </c>
      <c r="F846" s="215" t="s">
        <v>3022</v>
      </c>
      <c r="G846" s="96" t="s">
        <v>3023</v>
      </c>
      <c r="H846" s="96"/>
      <c r="I846" s="97">
        <v>2</v>
      </c>
      <c r="J846" s="98"/>
      <c r="K846" s="99"/>
      <c r="L846" s="100" t="s">
        <v>1582</v>
      </c>
      <c r="M846" s="101"/>
      <c r="N846" s="44">
        <v>500</v>
      </c>
      <c r="O846" s="93" t="s">
        <v>1360</v>
      </c>
      <c r="P846" s="34" t="s">
        <v>2266</v>
      </c>
    </row>
    <row r="847" spans="2:16" ht="27.75" customHeight="1">
      <c r="B847" s="25">
        <f t="shared" si="13"/>
        <v>816</v>
      </c>
      <c r="C847" s="42" t="s">
        <v>607</v>
      </c>
      <c r="D847" s="94" t="s">
        <v>607</v>
      </c>
      <c r="E847" s="26" t="e">
        <f>VLOOKUP(C847,#REF!,3,0)</f>
        <v>#REF!</v>
      </c>
      <c r="F847" s="215" t="s">
        <v>3024</v>
      </c>
      <c r="G847" s="96" t="s">
        <v>3025</v>
      </c>
      <c r="H847" s="96"/>
      <c r="I847" s="97">
        <v>2</v>
      </c>
      <c r="J847" s="98"/>
      <c r="K847" s="99"/>
      <c r="L847" s="100"/>
      <c r="M847" s="101"/>
      <c r="N847" s="44">
        <v>500</v>
      </c>
      <c r="O847" s="93" t="s">
        <v>1360</v>
      </c>
      <c r="P847" s="34"/>
    </row>
    <row r="848" spans="2:16" ht="27.75" customHeight="1">
      <c r="B848" s="25">
        <f t="shared" si="13"/>
        <v>817</v>
      </c>
      <c r="C848" s="42" t="s">
        <v>597</v>
      </c>
      <c r="D848" s="94" t="s">
        <v>597</v>
      </c>
      <c r="E848" s="26" t="e">
        <f>VLOOKUP(C848,#REF!,3,0)</f>
        <v>#REF!</v>
      </c>
      <c r="F848" s="215" t="s">
        <v>3026</v>
      </c>
      <c r="G848" s="96" t="s">
        <v>3027</v>
      </c>
      <c r="H848" s="96"/>
      <c r="I848" s="97">
        <v>2</v>
      </c>
      <c r="J848" s="98"/>
      <c r="K848" s="99"/>
      <c r="L848" s="100" t="s">
        <v>1582</v>
      </c>
      <c r="M848" s="101"/>
      <c r="N848" s="44">
        <v>500</v>
      </c>
      <c r="O848" s="93" t="s">
        <v>1360</v>
      </c>
      <c r="P848" s="34"/>
    </row>
    <row r="849" spans="2:16" ht="27.75" customHeight="1">
      <c r="B849" s="25">
        <f t="shared" si="13"/>
        <v>818</v>
      </c>
      <c r="C849" s="42" t="s">
        <v>604</v>
      </c>
      <c r="D849" s="94" t="s">
        <v>604</v>
      </c>
      <c r="E849" s="26" t="e">
        <f>VLOOKUP(C849,#REF!,3,0)</f>
        <v>#REF!</v>
      </c>
      <c r="F849" s="215" t="s">
        <v>3028</v>
      </c>
      <c r="G849" s="96" t="s">
        <v>3029</v>
      </c>
      <c r="H849" s="96"/>
      <c r="I849" s="97">
        <v>2</v>
      </c>
      <c r="J849" s="98"/>
      <c r="K849" s="99"/>
      <c r="L849" s="100" t="s">
        <v>1582</v>
      </c>
      <c r="M849" s="101"/>
      <c r="N849" s="44">
        <v>500</v>
      </c>
      <c r="O849" s="93" t="s">
        <v>1360</v>
      </c>
      <c r="P849" s="34"/>
    </row>
    <row r="850" spans="2:16" ht="27.75" customHeight="1">
      <c r="B850" s="25">
        <f t="shared" si="13"/>
        <v>819</v>
      </c>
      <c r="C850" s="42" t="s">
        <v>605</v>
      </c>
      <c r="D850" s="94" t="s">
        <v>605</v>
      </c>
      <c r="E850" s="26" t="e">
        <f>VLOOKUP(C850,#REF!,3,0)</f>
        <v>#REF!</v>
      </c>
      <c r="F850" s="215" t="s">
        <v>3030</v>
      </c>
      <c r="G850" s="96" t="s">
        <v>3031</v>
      </c>
      <c r="H850" s="96"/>
      <c r="I850" s="97">
        <v>2</v>
      </c>
      <c r="J850" s="98"/>
      <c r="K850" s="99"/>
      <c r="L850" s="100"/>
      <c r="M850" s="101"/>
      <c r="N850" s="44">
        <v>500</v>
      </c>
      <c r="O850" s="93" t="s">
        <v>1360</v>
      </c>
      <c r="P850" s="34"/>
    </row>
    <row r="851" spans="2:16" ht="27.75" customHeight="1">
      <c r="B851" s="25">
        <f t="shared" si="13"/>
        <v>820</v>
      </c>
      <c r="C851" s="42" t="s">
        <v>599</v>
      </c>
      <c r="D851" s="94" t="s">
        <v>599</v>
      </c>
      <c r="E851" s="26" t="e">
        <f>VLOOKUP(C851,#REF!,3,0)</f>
        <v>#REF!</v>
      </c>
      <c r="F851" s="215" t="s">
        <v>3032</v>
      </c>
      <c r="G851" s="96" t="s">
        <v>3033</v>
      </c>
      <c r="H851" s="96"/>
      <c r="I851" s="97">
        <v>2</v>
      </c>
      <c r="J851" s="98"/>
      <c r="K851" s="99"/>
      <c r="L851" s="100"/>
      <c r="M851" s="101"/>
      <c r="N851" s="44">
        <v>500</v>
      </c>
      <c r="O851" s="93" t="s">
        <v>1360</v>
      </c>
      <c r="P851" s="34"/>
    </row>
    <row r="852" spans="2:16" ht="27.75" customHeight="1">
      <c r="B852" s="25">
        <f t="shared" si="13"/>
        <v>821</v>
      </c>
      <c r="C852" s="42" t="s">
        <v>578</v>
      </c>
      <c r="D852" s="94" t="s">
        <v>578</v>
      </c>
      <c r="E852" s="26" t="e">
        <f>VLOOKUP(C852,#REF!,3,0)</f>
        <v>#REF!</v>
      </c>
      <c r="F852" s="215" t="s">
        <v>3034</v>
      </c>
      <c r="G852" s="96" t="s">
        <v>3035</v>
      </c>
      <c r="H852" s="96"/>
      <c r="I852" s="97">
        <v>2</v>
      </c>
      <c r="J852" s="98"/>
      <c r="K852" s="99"/>
      <c r="L852" s="100"/>
      <c r="M852" s="101"/>
      <c r="N852" s="44">
        <v>500</v>
      </c>
      <c r="O852" s="93" t="s">
        <v>1360</v>
      </c>
      <c r="P852" s="34"/>
    </row>
    <row r="853" spans="2:16" ht="27.75" customHeight="1">
      <c r="B853" s="25">
        <f t="shared" si="13"/>
        <v>822</v>
      </c>
      <c r="C853" s="42" t="s">
        <v>634</v>
      </c>
      <c r="D853" s="94" t="s">
        <v>634</v>
      </c>
      <c r="E853" s="26" t="e">
        <f>VLOOKUP(C853,#REF!,3,0)</f>
        <v>#REF!</v>
      </c>
      <c r="F853" s="215" t="s">
        <v>3036</v>
      </c>
      <c r="G853" s="96" t="s">
        <v>3037</v>
      </c>
      <c r="H853" s="96"/>
      <c r="I853" s="97">
        <v>2</v>
      </c>
      <c r="J853" s="98"/>
      <c r="K853" s="99"/>
      <c r="L853" s="100"/>
      <c r="M853" s="101"/>
      <c r="N853" s="44">
        <v>500</v>
      </c>
      <c r="O853" s="93" t="s">
        <v>1360</v>
      </c>
      <c r="P853" s="34"/>
    </row>
    <row r="854" spans="2:16" ht="27.75" customHeight="1">
      <c r="B854" s="25">
        <f t="shared" si="13"/>
        <v>823</v>
      </c>
      <c r="C854" s="42" t="s">
        <v>635</v>
      </c>
      <c r="D854" s="94" t="s">
        <v>635</v>
      </c>
      <c r="E854" s="26" t="e">
        <f>VLOOKUP(C854,#REF!,3,0)</f>
        <v>#REF!</v>
      </c>
      <c r="F854" s="215" t="s">
        <v>3038</v>
      </c>
      <c r="G854" s="96" t="s">
        <v>3039</v>
      </c>
      <c r="H854" s="96"/>
      <c r="I854" s="97">
        <v>2</v>
      </c>
      <c r="J854" s="98"/>
      <c r="K854" s="99"/>
      <c r="L854" s="100"/>
      <c r="M854" s="101"/>
      <c r="N854" s="44">
        <v>500</v>
      </c>
      <c r="O854" s="93" t="s">
        <v>1360</v>
      </c>
      <c r="P854" s="34" t="s">
        <v>3040</v>
      </c>
    </row>
    <row r="855" spans="2:16" ht="27.75" customHeight="1">
      <c r="B855" s="25">
        <f t="shared" si="13"/>
        <v>824</v>
      </c>
      <c r="C855" s="42" t="s">
        <v>636</v>
      </c>
      <c r="D855" s="94" t="s">
        <v>636</v>
      </c>
      <c r="E855" s="26" t="e">
        <f>VLOOKUP(C855,#REF!,3,0)</f>
        <v>#REF!</v>
      </c>
      <c r="F855" s="215" t="s">
        <v>3041</v>
      </c>
      <c r="G855" s="96" t="s">
        <v>3042</v>
      </c>
      <c r="H855" s="96"/>
      <c r="I855" s="97">
        <v>2</v>
      </c>
      <c r="J855" s="98"/>
      <c r="K855" s="99"/>
      <c r="L855" s="100"/>
      <c r="M855" s="101"/>
      <c r="N855" s="44">
        <v>500</v>
      </c>
      <c r="O855" s="93" t="s">
        <v>1360</v>
      </c>
      <c r="P855" s="34"/>
    </row>
    <row r="856" spans="2:16" ht="27.75" customHeight="1">
      <c r="B856" s="25">
        <f t="shared" si="13"/>
        <v>825</v>
      </c>
      <c r="C856" s="42" t="s">
        <v>637</v>
      </c>
      <c r="D856" s="94" t="s">
        <v>637</v>
      </c>
      <c r="E856" s="26" t="e">
        <f>VLOOKUP(C856,#REF!,3,0)</f>
        <v>#REF!</v>
      </c>
      <c r="F856" s="215" t="s">
        <v>3043</v>
      </c>
      <c r="G856" s="96" t="s">
        <v>3044</v>
      </c>
      <c r="H856" s="96"/>
      <c r="I856" s="97">
        <v>2</v>
      </c>
      <c r="J856" s="98"/>
      <c r="K856" s="99"/>
      <c r="L856" s="100"/>
      <c r="M856" s="101"/>
      <c r="N856" s="44">
        <v>500</v>
      </c>
      <c r="O856" s="93" t="s">
        <v>1360</v>
      </c>
      <c r="P856" s="34"/>
    </row>
    <row r="857" spans="2:16" ht="27.75" customHeight="1">
      <c r="B857" s="25">
        <f t="shared" si="13"/>
        <v>826</v>
      </c>
      <c r="C857" s="42" t="s">
        <v>638</v>
      </c>
      <c r="D857" s="94" t="s">
        <v>638</v>
      </c>
      <c r="E857" s="26" t="e">
        <f>VLOOKUP(C857,#REF!,3,0)</f>
        <v>#REF!</v>
      </c>
      <c r="F857" s="215" t="s">
        <v>3045</v>
      </c>
      <c r="G857" s="96" t="s">
        <v>3046</v>
      </c>
      <c r="H857" s="96"/>
      <c r="I857" s="97">
        <v>2</v>
      </c>
      <c r="J857" s="98"/>
      <c r="K857" s="99"/>
      <c r="L857" s="100"/>
      <c r="M857" s="101"/>
      <c r="N857" s="44">
        <v>500</v>
      </c>
      <c r="O857" s="93" t="s">
        <v>1360</v>
      </c>
      <c r="P857" s="34" t="s">
        <v>2147</v>
      </c>
    </row>
    <row r="858" spans="2:16" ht="27.75" customHeight="1">
      <c r="B858" s="25">
        <f t="shared" si="13"/>
        <v>827</v>
      </c>
      <c r="C858" s="42" t="s">
        <v>639</v>
      </c>
      <c r="D858" s="94" t="s">
        <v>639</v>
      </c>
      <c r="E858" s="26" t="e">
        <f>VLOOKUP(C858,#REF!,3,0)</f>
        <v>#REF!</v>
      </c>
      <c r="F858" s="215" t="s">
        <v>3047</v>
      </c>
      <c r="G858" s="96" t="s">
        <v>3048</v>
      </c>
      <c r="H858" s="96"/>
      <c r="I858" s="97">
        <v>2</v>
      </c>
      <c r="J858" s="98"/>
      <c r="K858" s="99"/>
      <c r="L858" s="100"/>
      <c r="M858" s="101"/>
      <c r="N858" s="44">
        <v>500</v>
      </c>
      <c r="O858" s="93" t="s">
        <v>1360</v>
      </c>
      <c r="P858" s="34"/>
    </row>
    <row r="859" spans="2:16" ht="27.75" customHeight="1">
      <c r="B859" s="25">
        <f t="shared" si="13"/>
        <v>828</v>
      </c>
      <c r="C859" s="42" t="s">
        <v>573</v>
      </c>
      <c r="D859" s="94" t="s">
        <v>573</v>
      </c>
      <c r="E859" s="26" t="e">
        <f>VLOOKUP(C859,#REF!,3,0)</f>
        <v>#REF!</v>
      </c>
      <c r="F859" s="215" t="s">
        <v>3049</v>
      </c>
      <c r="G859" s="96" t="s">
        <v>3050</v>
      </c>
      <c r="H859" s="96"/>
      <c r="I859" s="97">
        <v>2</v>
      </c>
      <c r="J859" s="98"/>
      <c r="K859" s="99"/>
      <c r="L859" s="100" t="s">
        <v>1582</v>
      </c>
      <c r="M859" s="101"/>
      <c r="N859" s="44">
        <v>500</v>
      </c>
      <c r="O859" s="93" t="s">
        <v>1360</v>
      </c>
      <c r="P859" s="34" t="s">
        <v>2882</v>
      </c>
    </row>
    <row r="860" spans="2:16" ht="27.75" customHeight="1">
      <c r="B860" s="25">
        <f t="shared" si="13"/>
        <v>829</v>
      </c>
      <c r="C860" s="42" t="s">
        <v>574</v>
      </c>
      <c r="D860" s="94" t="s">
        <v>574</v>
      </c>
      <c r="E860" s="26" t="e">
        <f>VLOOKUP(C860,#REF!,3,0)</f>
        <v>#REF!</v>
      </c>
      <c r="F860" s="215" t="s">
        <v>3051</v>
      </c>
      <c r="G860" s="96" t="s">
        <v>3052</v>
      </c>
      <c r="H860" s="96"/>
      <c r="I860" s="97">
        <v>2</v>
      </c>
      <c r="J860" s="98"/>
      <c r="K860" s="99"/>
      <c r="L860" s="100"/>
      <c r="M860" s="101"/>
      <c r="N860" s="44">
        <v>500</v>
      </c>
      <c r="O860" s="93" t="s">
        <v>1360</v>
      </c>
      <c r="P860" s="34"/>
    </row>
    <row r="861" spans="2:16" ht="27.75" customHeight="1">
      <c r="B861" s="25">
        <f t="shared" si="13"/>
        <v>830</v>
      </c>
      <c r="C861" s="42" t="s">
        <v>596</v>
      </c>
      <c r="D861" s="94" t="s">
        <v>596</v>
      </c>
      <c r="E861" s="26" t="e">
        <f>VLOOKUP(C861,#REF!,3,0)</f>
        <v>#REF!</v>
      </c>
      <c r="F861" s="215" t="s">
        <v>3053</v>
      </c>
      <c r="G861" s="96" t="s">
        <v>3054</v>
      </c>
      <c r="H861" s="96"/>
      <c r="I861" s="97">
        <v>2</v>
      </c>
      <c r="J861" s="98"/>
      <c r="K861" s="99"/>
      <c r="L861" s="100"/>
      <c r="M861" s="101"/>
      <c r="N861" s="44">
        <v>500</v>
      </c>
      <c r="O861" s="116" t="s">
        <v>1542</v>
      </c>
      <c r="P861" s="34"/>
    </row>
    <row r="862" spans="2:16" ht="27.75" customHeight="1">
      <c r="B862" s="25">
        <f t="shared" si="13"/>
        <v>831</v>
      </c>
      <c r="C862" s="42" t="s">
        <v>1123</v>
      </c>
      <c r="D862" s="94" t="s">
        <v>1123</v>
      </c>
      <c r="E862" s="26" t="e">
        <f>VLOOKUP(C862,#REF!,3,0)</f>
        <v>#REF!</v>
      </c>
      <c r="F862" s="217" t="s">
        <v>3588</v>
      </c>
      <c r="G862" s="96"/>
      <c r="H862" s="96"/>
      <c r="I862" s="97"/>
      <c r="J862" s="98"/>
      <c r="K862" s="99"/>
      <c r="L862" s="100"/>
      <c r="M862" s="101"/>
      <c r="N862" s="44">
        <v>500</v>
      </c>
      <c r="O862" s="116" t="s">
        <v>3055</v>
      </c>
      <c r="P862" s="34"/>
    </row>
    <row r="863" spans="2:16" ht="27.75" customHeight="1">
      <c r="B863" s="25">
        <f t="shared" si="13"/>
        <v>832</v>
      </c>
      <c r="C863" s="42" t="s">
        <v>266</v>
      </c>
      <c r="D863" s="94" t="s">
        <v>1123</v>
      </c>
      <c r="E863" s="26" t="e">
        <f>VLOOKUP(C863,#REF!,3,0)</f>
        <v>#REF!</v>
      </c>
      <c r="F863" s="217" t="s">
        <v>3594</v>
      </c>
      <c r="G863" s="96" t="s">
        <v>2765</v>
      </c>
      <c r="H863" s="96"/>
      <c r="I863" s="97"/>
      <c r="J863" s="98"/>
      <c r="K863" s="99"/>
      <c r="L863" s="100"/>
      <c r="M863" s="101"/>
      <c r="N863" s="44"/>
      <c r="O863" s="116"/>
      <c r="P863" s="34"/>
    </row>
    <row r="864" spans="2:16" ht="27.75" customHeight="1">
      <c r="B864" s="25">
        <f t="shared" si="13"/>
        <v>833</v>
      </c>
      <c r="C864" s="42" t="s">
        <v>707</v>
      </c>
      <c r="D864" s="94" t="s">
        <v>707</v>
      </c>
      <c r="E864" s="26" t="e">
        <f>VLOOKUP(C864,#REF!,3,0)</f>
        <v>#REF!</v>
      </c>
      <c r="F864" s="215" t="s">
        <v>3056</v>
      </c>
      <c r="G864" s="96" t="s">
        <v>3057</v>
      </c>
      <c r="H864" s="96"/>
      <c r="I864" s="97">
        <v>2</v>
      </c>
      <c r="J864" s="98"/>
      <c r="K864" s="99"/>
      <c r="L864" s="100"/>
      <c r="M864" s="101"/>
      <c r="N864" s="44">
        <v>500</v>
      </c>
      <c r="O864" s="116" t="s">
        <v>3058</v>
      </c>
      <c r="P864" s="34"/>
    </row>
    <row r="865" spans="2:16" ht="27.75" customHeight="1">
      <c r="B865" s="25">
        <f t="shared" si="13"/>
        <v>834</v>
      </c>
      <c r="C865" s="42" t="s">
        <v>188</v>
      </c>
      <c r="D865" s="94" t="s">
        <v>188</v>
      </c>
      <c r="E865" s="26" t="e">
        <f>VLOOKUP(C865,#REF!,3,0)</f>
        <v>#REF!</v>
      </c>
      <c r="F865" s="215" t="s">
        <v>3059</v>
      </c>
      <c r="G865" s="96" t="s">
        <v>3060</v>
      </c>
      <c r="H865" s="96"/>
      <c r="I865" s="97">
        <v>2</v>
      </c>
      <c r="J865" s="98"/>
      <c r="K865" s="99"/>
      <c r="L865" s="100"/>
      <c r="M865" s="101"/>
      <c r="N865" s="44">
        <v>500</v>
      </c>
      <c r="O865" s="116" t="s">
        <v>3058</v>
      </c>
      <c r="P865" s="34"/>
    </row>
    <row r="866" spans="2:16" ht="27.75" customHeight="1">
      <c r="B866" s="25">
        <f t="shared" si="13"/>
        <v>835</v>
      </c>
      <c r="C866" s="42" t="s">
        <v>264</v>
      </c>
      <c r="D866" s="94" t="s">
        <v>264</v>
      </c>
      <c r="E866" s="26" t="e">
        <f>VLOOKUP(C866,#REF!,3,0)</f>
        <v>#REF!</v>
      </c>
      <c r="F866" s="215" t="s">
        <v>3061</v>
      </c>
      <c r="G866" s="96" t="s">
        <v>3062</v>
      </c>
      <c r="H866" s="96"/>
      <c r="I866" s="97">
        <v>2</v>
      </c>
      <c r="J866" s="98"/>
      <c r="K866" s="99"/>
      <c r="L866" s="100"/>
      <c r="M866" s="101"/>
      <c r="N866" s="44">
        <v>500</v>
      </c>
      <c r="O866" s="25" t="s">
        <v>2820</v>
      </c>
      <c r="P866" s="34"/>
    </row>
    <row r="867" spans="2:16" ht="27.75" customHeight="1">
      <c r="B867" s="25">
        <f t="shared" si="13"/>
        <v>836</v>
      </c>
      <c r="C867" s="42" t="s">
        <v>265</v>
      </c>
      <c r="D867" s="94" t="s">
        <v>264</v>
      </c>
      <c r="E867" s="26" t="e">
        <f>VLOOKUP(C867,#REF!,3,0)</f>
        <v>#REF!</v>
      </c>
      <c r="F867" s="215" t="s">
        <v>3061</v>
      </c>
      <c r="G867" s="96" t="s">
        <v>3062</v>
      </c>
      <c r="H867" s="96"/>
      <c r="I867" s="97">
        <v>2</v>
      </c>
      <c r="J867" s="98"/>
      <c r="K867" s="99"/>
      <c r="L867" s="100"/>
      <c r="M867" s="101"/>
      <c r="N867" s="44"/>
      <c r="O867" s="25"/>
      <c r="P867" s="34"/>
    </row>
    <row r="868" spans="2:16" ht="27.75" customHeight="1">
      <c r="B868" s="25">
        <f t="shared" si="13"/>
        <v>837</v>
      </c>
      <c r="C868" s="42" t="s">
        <v>772</v>
      </c>
      <c r="D868" s="118" t="s">
        <v>772</v>
      </c>
      <c r="E868" s="26" t="e">
        <f>VLOOKUP(C868,#REF!,3,0)</f>
        <v>#REF!</v>
      </c>
      <c r="F868" s="208" t="s">
        <v>3063</v>
      </c>
      <c r="G868" s="68" t="s">
        <v>3064</v>
      </c>
      <c r="H868" s="68"/>
      <c r="I868" s="90">
        <v>4</v>
      </c>
      <c r="J868" s="71" t="s">
        <v>1256</v>
      </c>
      <c r="K868" s="72"/>
      <c r="L868" s="87"/>
      <c r="M868" s="74"/>
      <c r="N868" s="44">
        <v>500</v>
      </c>
      <c r="O868" s="25" t="s">
        <v>2820</v>
      </c>
      <c r="P868" s="34"/>
    </row>
    <row r="869" spans="2:16" ht="27.75" customHeight="1">
      <c r="B869" s="25">
        <f t="shared" si="13"/>
        <v>838</v>
      </c>
      <c r="C869" s="42" t="s">
        <v>497</v>
      </c>
      <c r="D869" s="118" t="s">
        <v>497</v>
      </c>
      <c r="E869" s="26" t="e">
        <f>VLOOKUP(C869,#REF!,3,0)</f>
        <v>#REF!</v>
      </c>
      <c r="F869" s="208" t="s">
        <v>3065</v>
      </c>
      <c r="G869" s="68" t="s">
        <v>3066</v>
      </c>
      <c r="H869" s="68"/>
      <c r="I869" s="90">
        <v>2</v>
      </c>
      <c r="J869" s="71" t="s">
        <v>1256</v>
      </c>
      <c r="K869" s="72"/>
      <c r="L869" s="87"/>
      <c r="M869" s="74"/>
      <c r="N869" s="44">
        <v>500</v>
      </c>
      <c r="O869" s="25" t="s">
        <v>2820</v>
      </c>
      <c r="P869" s="34"/>
    </row>
    <row r="870" spans="2:16" ht="27.75" customHeight="1">
      <c r="B870" s="25">
        <f t="shared" si="13"/>
        <v>839</v>
      </c>
      <c r="C870" s="42" t="s">
        <v>402</v>
      </c>
      <c r="D870" s="118" t="s">
        <v>402</v>
      </c>
      <c r="E870" s="26" t="e">
        <f>VLOOKUP(C870,#REF!,3,0)</f>
        <v>#REF!</v>
      </c>
      <c r="F870" s="208" t="s">
        <v>3067</v>
      </c>
      <c r="G870" s="68" t="s">
        <v>3068</v>
      </c>
      <c r="H870" s="68"/>
      <c r="I870" s="90">
        <v>2</v>
      </c>
      <c r="J870" s="71" t="s">
        <v>1256</v>
      </c>
      <c r="K870" s="72"/>
      <c r="L870" s="87"/>
      <c r="M870" s="74"/>
      <c r="N870" s="44">
        <v>500</v>
      </c>
      <c r="O870" s="25" t="s">
        <v>2820</v>
      </c>
      <c r="P870" s="34"/>
    </row>
    <row r="871" spans="2:16" ht="27.75" customHeight="1">
      <c r="B871" s="25">
        <f t="shared" si="13"/>
        <v>840</v>
      </c>
      <c r="C871" s="42" t="s">
        <v>63</v>
      </c>
      <c r="D871" s="118" t="s">
        <v>63</v>
      </c>
      <c r="E871" s="26" t="e">
        <f>VLOOKUP(C871,#REF!,3,0)</f>
        <v>#REF!</v>
      </c>
      <c r="F871" s="208" t="s">
        <v>3069</v>
      </c>
      <c r="G871" s="68" t="s">
        <v>3070</v>
      </c>
      <c r="H871" s="68"/>
      <c r="I871" s="90">
        <v>2</v>
      </c>
      <c r="J871" s="71" t="s">
        <v>1256</v>
      </c>
      <c r="K871" s="72"/>
      <c r="L871" s="73"/>
      <c r="M871" s="74"/>
      <c r="N871" s="44">
        <v>500</v>
      </c>
      <c r="O871" s="25" t="s">
        <v>2820</v>
      </c>
      <c r="P871" s="34"/>
    </row>
    <row r="872" spans="2:16" ht="27.75" customHeight="1">
      <c r="B872" s="25">
        <f t="shared" si="13"/>
        <v>841</v>
      </c>
      <c r="C872" s="42" t="s">
        <v>235</v>
      </c>
      <c r="D872" s="118" t="s">
        <v>235</v>
      </c>
      <c r="E872" s="26" t="e">
        <f>VLOOKUP(C872,#REF!,3,0)</f>
        <v>#REF!</v>
      </c>
      <c r="F872" s="208" t="s">
        <v>3071</v>
      </c>
      <c r="G872" s="68" t="s">
        <v>3072</v>
      </c>
      <c r="H872" s="68"/>
      <c r="I872" s="90">
        <v>4</v>
      </c>
      <c r="J872" s="71" t="s">
        <v>1256</v>
      </c>
      <c r="K872" s="72"/>
      <c r="L872" s="73"/>
      <c r="M872" s="74"/>
      <c r="N872" s="44">
        <v>500</v>
      </c>
      <c r="O872" s="25" t="s">
        <v>2820</v>
      </c>
      <c r="P872" s="34"/>
    </row>
    <row r="873" spans="2:16" ht="27.75" customHeight="1">
      <c r="B873" s="25">
        <f t="shared" si="13"/>
        <v>842</v>
      </c>
      <c r="C873" s="42" t="s">
        <v>741</v>
      </c>
      <c r="D873" s="118" t="s">
        <v>741</v>
      </c>
      <c r="E873" s="26" t="e">
        <f>VLOOKUP(C873,#REF!,3,0)</f>
        <v>#REF!</v>
      </c>
      <c r="F873" s="208" t="s">
        <v>3073</v>
      </c>
      <c r="G873" s="68" t="s">
        <v>3074</v>
      </c>
      <c r="H873" s="68"/>
      <c r="I873" s="90">
        <v>2</v>
      </c>
      <c r="J873" s="71" t="s">
        <v>1256</v>
      </c>
      <c r="K873" s="72"/>
      <c r="L873" s="73"/>
      <c r="M873" s="74"/>
      <c r="N873" s="44">
        <v>500</v>
      </c>
      <c r="O873" s="25" t="s">
        <v>2820</v>
      </c>
      <c r="P873" s="34"/>
    </row>
    <row r="874" spans="2:16" ht="27.75" customHeight="1">
      <c r="B874" s="25">
        <f t="shared" si="13"/>
        <v>843</v>
      </c>
      <c r="C874" s="42" t="s">
        <v>816</v>
      </c>
      <c r="D874" s="118" t="s">
        <v>816</v>
      </c>
      <c r="E874" s="26" t="e">
        <f>VLOOKUP(C874,#REF!,3,0)</f>
        <v>#REF!</v>
      </c>
      <c r="F874" s="208" t="s">
        <v>3075</v>
      </c>
      <c r="G874" s="68" t="s">
        <v>3076</v>
      </c>
      <c r="H874" s="68"/>
      <c r="I874" s="90">
        <v>2</v>
      </c>
      <c r="J874" s="71" t="s">
        <v>1256</v>
      </c>
      <c r="K874" s="72"/>
      <c r="L874" s="73"/>
      <c r="M874" s="74"/>
      <c r="N874" s="44">
        <v>500</v>
      </c>
      <c r="O874" s="25" t="s">
        <v>2820</v>
      </c>
      <c r="P874" s="34"/>
    </row>
    <row r="875" spans="2:16" ht="27.75" customHeight="1">
      <c r="B875" s="25">
        <f t="shared" si="13"/>
        <v>844</v>
      </c>
      <c r="C875" s="42" t="s">
        <v>817</v>
      </c>
      <c r="D875" s="118" t="s">
        <v>817</v>
      </c>
      <c r="E875" s="26" t="e">
        <f>VLOOKUP(C875,#REF!,3,0)</f>
        <v>#REF!</v>
      </c>
      <c r="F875" s="208" t="s">
        <v>3077</v>
      </c>
      <c r="G875" s="68" t="s">
        <v>3078</v>
      </c>
      <c r="H875" s="68"/>
      <c r="I875" s="90">
        <v>2</v>
      </c>
      <c r="J875" s="71" t="s">
        <v>1256</v>
      </c>
      <c r="K875" s="72"/>
      <c r="L875" s="73"/>
      <c r="M875" s="74"/>
      <c r="N875" s="44">
        <v>500</v>
      </c>
      <c r="O875" s="25" t="s">
        <v>2820</v>
      </c>
      <c r="P875" s="34"/>
    </row>
    <row r="876" spans="2:16" ht="27.75" customHeight="1">
      <c r="B876" s="25">
        <f t="shared" si="13"/>
        <v>845</v>
      </c>
      <c r="C876" s="42" t="s">
        <v>403</v>
      </c>
      <c r="D876" s="118" t="s">
        <v>403</v>
      </c>
      <c r="E876" s="26" t="e">
        <f>VLOOKUP(C876,#REF!,3,0)</f>
        <v>#REF!</v>
      </c>
      <c r="F876" s="208" t="s">
        <v>3079</v>
      </c>
      <c r="G876" s="68" t="s">
        <v>3080</v>
      </c>
      <c r="H876" s="68"/>
      <c r="I876" s="90">
        <v>4</v>
      </c>
      <c r="J876" s="71" t="s">
        <v>1256</v>
      </c>
      <c r="K876" s="72"/>
      <c r="L876" s="87"/>
      <c r="M876" s="74"/>
      <c r="N876" s="44">
        <v>500</v>
      </c>
      <c r="O876" s="25" t="s">
        <v>2820</v>
      </c>
      <c r="P876" s="34"/>
    </row>
    <row r="877" spans="2:16" ht="27.75" customHeight="1">
      <c r="B877" s="25">
        <f t="shared" si="13"/>
        <v>846</v>
      </c>
      <c r="C877" s="42" t="s">
        <v>115</v>
      </c>
      <c r="D877" s="118" t="s">
        <v>115</v>
      </c>
      <c r="E877" s="26" t="e">
        <f>VLOOKUP(C877,#REF!,3,0)</f>
        <v>#REF!</v>
      </c>
      <c r="F877" s="205" t="s">
        <v>3081</v>
      </c>
      <c r="G877" s="25" t="s">
        <v>3082</v>
      </c>
      <c r="H877" s="25"/>
      <c r="I877" s="90">
        <v>4</v>
      </c>
      <c r="J877" s="71" t="s">
        <v>1256</v>
      </c>
      <c r="K877" s="72"/>
      <c r="L877" s="73"/>
      <c r="M877" s="74"/>
      <c r="N877" s="44">
        <v>500</v>
      </c>
      <c r="O877" s="25" t="s">
        <v>2820</v>
      </c>
      <c r="P877" s="34"/>
    </row>
    <row r="878" spans="2:16" ht="27.75" customHeight="1">
      <c r="B878" s="25">
        <f t="shared" si="13"/>
        <v>847</v>
      </c>
      <c r="C878" s="42" t="s">
        <v>814</v>
      </c>
      <c r="D878" s="118" t="s">
        <v>814</v>
      </c>
      <c r="E878" s="26" t="e">
        <f>VLOOKUP(C878,#REF!,3,0)</f>
        <v>#REF!</v>
      </c>
      <c r="F878" s="208" t="s">
        <v>3083</v>
      </c>
      <c r="G878" s="68" t="s">
        <v>3084</v>
      </c>
      <c r="H878" s="68"/>
      <c r="I878" s="90">
        <v>2</v>
      </c>
      <c r="J878" s="71" t="s">
        <v>1256</v>
      </c>
      <c r="K878" s="72"/>
      <c r="L878" s="73"/>
      <c r="M878" s="74"/>
      <c r="N878" s="44">
        <v>500</v>
      </c>
      <c r="O878" s="25" t="s">
        <v>2820</v>
      </c>
      <c r="P878" s="34"/>
    </row>
    <row r="879" spans="2:16" ht="27.75" customHeight="1">
      <c r="B879" s="25">
        <f t="shared" si="13"/>
        <v>848</v>
      </c>
      <c r="C879" s="42" t="s">
        <v>104</v>
      </c>
      <c r="D879" s="118" t="s">
        <v>104</v>
      </c>
      <c r="E879" s="26" t="e">
        <f>VLOOKUP(C879,#REF!,3,0)</f>
        <v>#REF!</v>
      </c>
      <c r="F879" s="208" t="s">
        <v>3085</v>
      </c>
      <c r="G879" s="68" t="s">
        <v>3086</v>
      </c>
      <c r="H879" s="68"/>
      <c r="I879" s="90">
        <v>4</v>
      </c>
      <c r="J879" s="71" t="s">
        <v>1256</v>
      </c>
      <c r="K879" s="72"/>
      <c r="L879" s="73"/>
      <c r="M879" s="74"/>
      <c r="N879" s="44">
        <v>500</v>
      </c>
      <c r="O879" s="25" t="s">
        <v>2820</v>
      </c>
      <c r="P879" s="34"/>
    </row>
    <row r="880" spans="2:16" ht="27.75" customHeight="1">
      <c r="B880" s="25">
        <f t="shared" si="13"/>
        <v>849</v>
      </c>
      <c r="C880" s="42" t="s">
        <v>60</v>
      </c>
      <c r="D880" s="118" t="s">
        <v>60</v>
      </c>
      <c r="E880" s="26" t="e">
        <f>VLOOKUP(C880,#REF!,3,0)</f>
        <v>#REF!</v>
      </c>
      <c r="F880" s="208" t="s">
        <v>3087</v>
      </c>
      <c r="G880" s="68" t="s">
        <v>3088</v>
      </c>
      <c r="H880" s="68"/>
      <c r="I880" s="90">
        <v>4</v>
      </c>
      <c r="J880" s="71" t="s">
        <v>1256</v>
      </c>
      <c r="K880" s="72"/>
      <c r="L880" s="73"/>
      <c r="M880" s="74"/>
      <c r="N880" s="44">
        <v>500</v>
      </c>
      <c r="O880" s="25" t="s">
        <v>2820</v>
      </c>
      <c r="P880" s="34"/>
    </row>
    <row r="881" spans="2:16" ht="27.75" customHeight="1">
      <c r="B881" s="25">
        <f t="shared" si="13"/>
        <v>850</v>
      </c>
      <c r="C881" s="42" t="s">
        <v>431</v>
      </c>
      <c r="D881" s="118" t="s">
        <v>431</v>
      </c>
      <c r="E881" s="26" t="e">
        <f>VLOOKUP(C881,#REF!,3,0)</f>
        <v>#REF!</v>
      </c>
      <c r="F881" s="208" t="s">
        <v>3089</v>
      </c>
      <c r="G881" s="68" t="s">
        <v>3090</v>
      </c>
      <c r="H881" s="68"/>
      <c r="I881" s="90">
        <v>4</v>
      </c>
      <c r="J881" s="71" t="s">
        <v>1256</v>
      </c>
      <c r="K881" s="72"/>
      <c r="L881" s="87"/>
      <c r="M881" s="74"/>
      <c r="N881" s="44">
        <v>500</v>
      </c>
      <c r="O881" s="25" t="s">
        <v>2820</v>
      </c>
      <c r="P881" s="34"/>
    </row>
    <row r="882" spans="2:16" ht="27.75" customHeight="1">
      <c r="B882" s="25">
        <f t="shared" si="13"/>
        <v>851</v>
      </c>
      <c r="C882" s="42" t="s">
        <v>437</v>
      </c>
      <c r="D882" s="118" t="s">
        <v>437</v>
      </c>
      <c r="E882" s="26" t="e">
        <f>VLOOKUP(C882,#REF!,3,0)</f>
        <v>#REF!</v>
      </c>
      <c r="F882" s="208" t="s">
        <v>3091</v>
      </c>
      <c r="G882" s="68" t="s">
        <v>3092</v>
      </c>
      <c r="H882" s="68"/>
      <c r="I882" s="90">
        <v>4</v>
      </c>
      <c r="J882" s="71" t="s">
        <v>1256</v>
      </c>
      <c r="K882" s="72"/>
      <c r="L882" s="87"/>
      <c r="M882" s="74"/>
      <c r="N882" s="44">
        <v>500</v>
      </c>
      <c r="O882" s="25" t="s">
        <v>2820</v>
      </c>
      <c r="P882" s="34"/>
    </row>
    <row r="883" spans="2:16" ht="27.75" customHeight="1">
      <c r="B883" s="25">
        <f t="shared" si="13"/>
        <v>852</v>
      </c>
      <c r="C883" s="42" t="s">
        <v>625</v>
      </c>
      <c r="D883" s="118" t="s">
        <v>625</v>
      </c>
      <c r="E883" s="26" t="e">
        <f>VLOOKUP(C883,#REF!,3,0)</f>
        <v>#REF!</v>
      </c>
      <c r="F883" s="208" t="s">
        <v>3093</v>
      </c>
      <c r="G883" s="68" t="s">
        <v>3094</v>
      </c>
      <c r="H883" s="68"/>
      <c r="I883" s="90">
        <v>4</v>
      </c>
      <c r="J883" s="71" t="s">
        <v>1256</v>
      </c>
      <c r="K883" s="72"/>
      <c r="L883" s="87"/>
      <c r="M883" s="74"/>
      <c r="N883" s="44">
        <v>500</v>
      </c>
      <c r="O883" s="25" t="s">
        <v>2820</v>
      </c>
      <c r="P883" s="34"/>
    </row>
    <row r="884" spans="2:16" ht="27.75" customHeight="1">
      <c r="B884" s="25">
        <f t="shared" si="13"/>
        <v>853</v>
      </c>
      <c r="C884" s="42" t="s">
        <v>267</v>
      </c>
      <c r="D884" s="118" t="s">
        <v>267</v>
      </c>
      <c r="E884" s="26" t="e">
        <f>VLOOKUP(C884,#REF!,3,0)</f>
        <v>#REF!</v>
      </c>
      <c r="F884" s="210" t="s">
        <v>3095</v>
      </c>
      <c r="G884" s="78" t="s">
        <v>3096</v>
      </c>
      <c r="H884" s="78"/>
      <c r="I884" s="70">
        <v>2</v>
      </c>
      <c r="J884" s="71" t="s">
        <v>1256</v>
      </c>
      <c r="K884" s="72"/>
      <c r="L884" s="87"/>
      <c r="M884" s="74"/>
      <c r="N884" s="44">
        <v>500</v>
      </c>
      <c r="O884" s="25" t="s">
        <v>2820</v>
      </c>
      <c r="P884" s="34"/>
    </row>
    <row r="885" spans="2:16" ht="27.75" customHeight="1">
      <c r="B885" s="25">
        <f t="shared" si="13"/>
        <v>854</v>
      </c>
      <c r="C885" s="42" t="s">
        <v>776</v>
      </c>
      <c r="D885" s="118" t="s">
        <v>776</v>
      </c>
      <c r="E885" s="26" t="e">
        <f>VLOOKUP(C885,#REF!,3,0)</f>
        <v>#REF!</v>
      </c>
      <c r="F885" s="218" t="s">
        <v>3097</v>
      </c>
      <c r="G885" s="68" t="s">
        <v>3098</v>
      </c>
      <c r="H885" s="68" t="s">
        <v>1215</v>
      </c>
      <c r="I885" s="70">
        <v>2</v>
      </c>
      <c r="J885" s="71" t="s">
        <v>1256</v>
      </c>
      <c r="K885" s="72"/>
      <c r="L885" s="87"/>
      <c r="M885" s="74"/>
      <c r="N885" s="44">
        <v>500</v>
      </c>
      <c r="O885" s="25" t="s">
        <v>2820</v>
      </c>
      <c r="P885" s="34"/>
    </row>
    <row r="886" spans="2:16" ht="27.75" customHeight="1">
      <c r="B886" s="25">
        <f t="shared" si="13"/>
        <v>855</v>
      </c>
      <c r="C886" s="42" t="s">
        <v>274</v>
      </c>
      <c r="D886" s="118" t="s">
        <v>274</v>
      </c>
      <c r="E886" s="26" t="e">
        <f>VLOOKUP(C886,#REF!,3,0)</f>
        <v>#REF!</v>
      </c>
      <c r="F886" s="219" t="s">
        <v>3099</v>
      </c>
      <c r="G886" s="68" t="s">
        <v>3100</v>
      </c>
      <c r="H886" s="68" t="s">
        <v>1215</v>
      </c>
      <c r="I886" s="70">
        <v>2</v>
      </c>
      <c r="J886" s="71" t="s">
        <v>1256</v>
      </c>
      <c r="K886" s="72"/>
      <c r="L886" s="73"/>
      <c r="M886" s="74"/>
      <c r="N886" s="44">
        <v>500</v>
      </c>
      <c r="O886" s="25" t="s">
        <v>2820</v>
      </c>
      <c r="P886" s="34"/>
    </row>
    <row r="887" spans="2:16" ht="27.75" customHeight="1">
      <c r="B887" s="25">
        <f t="shared" si="13"/>
        <v>856</v>
      </c>
      <c r="C887" s="42" t="s">
        <v>275</v>
      </c>
      <c r="D887" s="118" t="s">
        <v>274</v>
      </c>
      <c r="E887" s="26" t="e">
        <f>VLOOKUP(C887,#REF!,3,0)</f>
        <v>#REF!</v>
      </c>
      <c r="F887" s="219" t="s">
        <v>3099</v>
      </c>
      <c r="G887" s="68" t="s">
        <v>3100</v>
      </c>
      <c r="H887" s="68" t="s">
        <v>1215</v>
      </c>
      <c r="I887" s="70">
        <v>2</v>
      </c>
      <c r="J887" s="71" t="s">
        <v>1256</v>
      </c>
      <c r="K887" s="72"/>
      <c r="L887" s="73"/>
      <c r="M887" s="74"/>
      <c r="N887" s="44"/>
      <c r="O887" s="25"/>
      <c r="P887" s="34"/>
    </row>
    <row r="888" spans="2:16" ht="27.75" customHeight="1">
      <c r="B888" s="25">
        <f t="shared" si="13"/>
        <v>857</v>
      </c>
      <c r="C888" s="42" t="s">
        <v>440</v>
      </c>
      <c r="D888" s="118" t="s">
        <v>440</v>
      </c>
      <c r="E888" s="26" t="e">
        <f>VLOOKUP(C888,#REF!,3,0)</f>
        <v>#REF!</v>
      </c>
      <c r="F888" s="219" t="s">
        <v>3101</v>
      </c>
      <c r="G888" s="68" t="s">
        <v>3102</v>
      </c>
      <c r="H888" s="68"/>
      <c r="I888" s="70">
        <v>2</v>
      </c>
      <c r="J888" s="71" t="s">
        <v>1256</v>
      </c>
      <c r="K888" s="72"/>
      <c r="L888" s="87"/>
      <c r="M888" s="74"/>
      <c r="N888" s="44">
        <v>500</v>
      </c>
      <c r="O888" s="25" t="s">
        <v>2820</v>
      </c>
      <c r="P888" s="34"/>
    </row>
    <row r="889" spans="2:16" ht="27.75" customHeight="1">
      <c r="B889" s="25">
        <f t="shared" si="13"/>
        <v>858</v>
      </c>
      <c r="C889" s="42" t="s">
        <v>779</v>
      </c>
      <c r="D889" s="118" t="s">
        <v>779</v>
      </c>
      <c r="E889" s="26" t="e">
        <f>VLOOKUP(C889,#REF!,3,0)</f>
        <v>#REF!</v>
      </c>
      <c r="F889" s="219" t="s">
        <v>3103</v>
      </c>
      <c r="G889" s="68" t="s">
        <v>3104</v>
      </c>
      <c r="H889" s="68"/>
      <c r="I889" s="70">
        <v>1</v>
      </c>
      <c r="J889" s="71" t="s">
        <v>1256</v>
      </c>
      <c r="K889" s="72"/>
      <c r="L889" s="73"/>
      <c r="M889" s="74"/>
      <c r="N889" s="44">
        <v>500</v>
      </c>
      <c r="O889" s="25" t="s">
        <v>2820</v>
      </c>
      <c r="P889" s="34"/>
    </row>
    <row r="890" spans="2:16" ht="27.75" customHeight="1">
      <c r="B890" s="25">
        <f t="shared" si="13"/>
        <v>859</v>
      </c>
      <c r="C890" s="42" t="s">
        <v>736</v>
      </c>
      <c r="D890" s="118" t="s">
        <v>736</v>
      </c>
      <c r="E890" s="26" t="e">
        <f>VLOOKUP(C890,#REF!,3,0)</f>
        <v>#REF!</v>
      </c>
      <c r="F890" s="219" t="s">
        <v>3105</v>
      </c>
      <c r="G890" s="68" t="s">
        <v>3106</v>
      </c>
      <c r="H890" s="68"/>
      <c r="I890" s="70">
        <v>2</v>
      </c>
      <c r="J890" s="71" t="s">
        <v>1256</v>
      </c>
      <c r="K890" s="72"/>
      <c r="L890" s="73"/>
      <c r="M890" s="74"/>
      <c r="N890" s="44">
        <v>500</v>
      </c>
      <c r="O890" s="25" t="s">
        <v>2820</v>
      </c>
      <c r="P890" s="34"/>
    </row>
    <row r="891" spans="2:16" ht="27.75" customHeight="1">
      <c r="B891" s="25">
        <f t="shared" si="13"/>
        <v>860</v>
      </c>
      <c r="C891" s="42" t="s">
        <v>667</v>
      </c>
      <c r="D891" s="118" t="s">
        <v>667</v>
      </c>
      <c r="E891" s="26" t="e">
        <f>VLOOKUP(C891,#REF!,3,0)</f>
        <v>#REF!</v>
      </c>
      <c r="F891" s="219" t="s">
        <v>3107</v>
      </c>
      <c r="G891" s="119" t="s">
        <v>3108</v>
      </c>
      <c r="H891" s="119"/>
      <c r="I891" s="70">
        <v>1</v>
      </c>
      <c r="J891" s="71" t="s">
        <v>1256</v>
      </c>
      <c r="K891" s="72"/>
      <c r="L891" s="73"/>
      <c r="M891" s="74"/>
      <c r="N891" s="44">
        <v>500</v>
      </c>
      <c r="O891" s="25" t="s">
        <v>2820</v>
      </c>
      <c r="P891" s="34"/>
    </row>
    <row r="892" spans="2:16" ht="27.75" customHeight="1">
      <c r="B892" s="25">
        <f t="shared" si="13"/>
        <v>861</v>
      </c>
      <c r="C892" s="42" t="s">
        <v>670</v>
      </c>
      <c r="D892" s="118" t="s">
        <v>667</v>
      </c>
      <c r="E892" s="26" t="e">
        <f>VLOOKUP(C892,#REF!,3,0)</f>
        <v>#REF!</v>
      </c>
      <c r="F892" s="219" t="s">
        <v>3107</v>
      </c>
      <c r="G892" s="119" t="s">
        <v>3108</v>
      </c>
      <c r="H892" s="119"/>
      <c r="I892" s="70">
        <v>1</v>
      </c>
      <c r="J892" s="71" t="s">
        <v>1256</v>
      </c>
      <c r="K892" s="72"/>
      <c r="L892" s="73"/>
      <c r="M892" s="74"/>
      <c r="N892" s="44"/>
      <c r="O892" s="25"/>
      <c r="P892" s="34"/>
    </row>
    <row r="893" spans="2:16" ht="27.75" customHeight="1">
      <c r="B893" s="25">
        <f t="shared" si="13"/>
        <v>862</v>
      </c>
      <c r="C893" s="42" t="s">
        <v>701</v>
      </c>
      <c r="D893" s="118" t="s">
        <v>667</v>
      </c>
      <c r="E893" s="26" t="e">
        <f>VLOOKUP(C893,#REF!,3,0)</f>
        <v>#REF!</v>
      </c>
      <c r="F893" s="219" t="s">
        <v>3107</v>
      </c>
      <c r="G893" s="119" t="s">
        <v>3108</v>
      </c>
      <c r="H893" s="119"/>
      <c r="I893" s="70">
        <v>1</v>
      </c>
      <c r="J893" s="71" t="s">
        <v>1256</v>
      </c>
      <c r="K893" s="72"/>
      <c r="L893" s="73"/>
      <c r="M893" s="74"/>
      <c r="N893" s="44"/>
      <c r="O893" s="25"/>
      <c r="P893" s="34"/>
    </row>
    <row r="894" spans="2:16" ht="27.75" customHeight="1">
      <c r="B894" s="25">
        <f t="shared" si="13"/>
        <v>863</v>
      </c>
      <c r="C894" s="42" t="s">
        <v>696</v>
      </c>
      <c r="D894" s="118" t="s">
        <v>667</v>
      </c>
      <c r="E894" s="26" t="e">
        <f>VLOOKUP(C894,#REF!,3,0)</f>
        <v>#REF!</v>
      </c>
      <c r="F894" s="219" t="s">
        <v>3107</v>
      </c>
      <c r="G894" s="119" t="s">
        <v>3108</v>
      </c>
      <c r="H894" s="119"/>
      <c r="I894" s="70">
        <v>1</v>
      </c>
      <c r="J894" s="71" t="s">
        <v>1256</v>
      </c>
      <c r="K894" s="72"/>
      <c r="L894" s="73"/>
      <c r="M894" s="74"/>
      <c r="N894" s="44"/>
      <c r="O894" s="25"/>
      <c r="P894" s="34"/>
    </row>
    <row r="895" spans="2:16" ht="27.75" customHeight="1">
      <c r="B895" s="25">
        <f t="shared" si="13"/>
        <v>864</v>
      </c>
      <c r="C895" s="42" t="s">
        <v>841</v>
      </c>
      <c r="D895" s="118" t="s">
        <v>841</v>
      </c>
      <c r="E895" s="26" t="e">
        <f>VLOOKUP(C895,#REF!,3,0)</f>
        <v>#REF!</v>
      </c>
      <c r="F895" s="210" t="s">
        <v>3109</v>
      </c>
      <c r="G895" s="78" t="s">
        <v>3110</v>
      </c>
      <c r="H895" s="78"/>
      <c r="I895" s="70">
        <v>2</v>
      </c>
      <c r="J895" s="71" t="s">
        <v>1256</v>
      </c>
      <c r="K895" s="72"/>
      <c r="L895" s="87"/>
      <c r="M895" s="74"/>
      <c r="N895" s="44">
        <v>500</v>
      </c>
      <c r="O895" s="25" t="s">
        <v>2820</v>
      </c>
      <c r="P895" s="34"/>
    </row>
    <row r="896" spans="2:16" ht="27.75" customHeight="1">
      <c r="B896" s="25">
        <f t="shared" si="13"/>
        <v>865</v>
      </c>
      <c r="C896" s="42" t="s">
        <v>711</v>
      </c>
      <c r="D896" s="118" t="s">
        <v>711</v>
      </c>
      <c r="E896" s="26" t="e">
        <f>VLOOKUP(C896,#REF!,3,0)</f>
        <v>#REF!</v>
      </c>
      <c r="F896" s="210" t="s">
        <v>3111</v>
      </c>
      <c r="G896" s="78" t="s">
        <v>3112</v>
      </c>
      <c r="H896" s="78" t="s">
        <v>1215</v>
      </c>
      <c r="I896" s="70">
        <v>4</v>
      </c>
      <c r="J896" s="71" t="s">
        <v>1256</v>
      </c>
      <c r="K896" s="72"/>
      <c r="L896" s="87"/>
      <c r="M896" s="74"/>
      <c r="N896" s="44">
        <v>500</v>
      </c>
      <c r="O896" s="25" t="s">
        <v>2820</v>
      </c>
      <c r="P896" s="34"/>
    </row>
    <row r="897" spans="2:16" ht="27.75" customHeight="1">
      <c r="B897" s="25">
        <f t="shared" si="13"/>
        <v>866</v>
      </c>
      <c r="C897" s="42" t="s">
        <v>710</v>
      </c>
      <c r="D897" s="118" t="s">
        <v>711</v>
      </c>
      <c r="E897" s="26" t="e">
        <f>VLOOKUP(C897,#REF!,3,0)</f>
        <v>#REF!</v>
      </c>
      <c r="F897" s="220" t="s">
        <v>3113</v>
      </c>
      <c r="G897" s="120" t="s">
        <v>3114</v>
      </c>
      <c r="H897" s="78" t="s">
        <v>1215</v>
      </c>
      <c r="I897" s="70">
        <v>4</v>
      </c>
      <c r="J897" s="71" t="s">
        <v>1256</v>
      </c>
      <c r="K897" s="72"/>
      <c r="L897" s="87"/>
      <c r="M897" s="74"/>
      <c r="N897" s="44">
        <v>500</v>
      </c>
      <c r="O897" s="25" t="s">
        <v>2820</v>
      </c>
      <c r="P897" s="34"/>
    </row>
    <row r="898" spans="2:16" ht="27.75" customHeight="1">
      <c r="B898" s="25">
        <f t="shared" si="13"/>
        <v>867</v>
      </c>
      <c r="C898" s="42" t="s">
        <v>713</v>
      </c>
      <c r="D898" s="118" t="s">
        <v>711</v>
      </c>
      <c r="E898" s="26" t="e">
        <f>VLOOKUP(C898,#REF!,3,0)</f>
        <v>#REF!</v>
      </c>
      <c r="F898" s="220" t="s">
        <v>3115</v>
      </c>
      <c r="G898" s="120" t="s">
        <v>3116</v>
      </c>
      <c r="H898" s="78" t="s">
        <v>1215</v>
      </c>
      <c r="I898" s="70">
        <v>4</v>
      </c>
      <c r="J898" s="71" t="s">
        <v>1256</v>
      </c>
      <c r="K898" s="72"/>
      <c r="L898" s="87"/>
      <c r="M898" s="74"/>
      <c r="N898" s="44">
        <v>500</v>
      </c>
      <c r="O898" s="25" t="s">
        <v>2820</v>
      </c>
      <c r="P898" s="34"/>
    </row>
    <row r="899" spans="2:16" ht="27.75" customHeight="1">
      <c r="B899" s="25">
        <f t="shared" si="13"/>
        <v>868</v>
      </c>
      <c r="C899" s="42" t="s">
        <v>712</v>
      </c>
      <c r="D899" s="118" t="s">
        <v>711</v>
      </c>
      <c r="E899" s="26" t="e">
        <f>VLOOKUP(C899,#REF!,3,0)</f>
        <v>#REF!</v>
      </c>
      <c r="F899" s="220" t="s">
        <v>3117</v>
      </c>
      <c r="G899" s="120" t="s">
        <v>3118</v>
      </c>
      <c r="H899" s="78" t="s">
        <v>1215</v>
      </c>
      <c r="I899" s="70">
        <v>4</v>
      </c>
      <c r="J899" s="71" t="s">
        <v>1256</v>
      </c>
      <c r="K899" s="72"/>
      <c r="L899" s="87"/>
      <c r="M899" s="74"/>
      <c r="N899" s="44">
        <v>500</v>
      </c>
      <c r="O899" s="25" t="s">
        <v>2820</v>
      </c>
      <c r="P899" s="34"/>
    </row>
    <row r="900" spans="2:16" ht="27.75" customHeight="1">
      <c r="B900" s="25">
        <f t="shared" si="13"/>
        <v>869</v>
      </c>
      <c r="C900" s="42" t="s">
        <v>744</v>
      </c>
      <c r="D900" s="118" t="s">
        <v>744</v>
      </c>
      <c r="E900" s="26" t="e">
        <f>VLOOKUP(C900,#REF!,3,0)</f>
        <v>#REF!</v>
      </c>
      <c r="F900" s="210" t="s">
        <v>3119</v>
      </c>
      <c r="G900" s="78" t="s">
        <v>3120</v>
      </c>
      <c r="H900" s="78"/>
      <c r="I900" s="70">
        <v>2</v>
      </c>
      <c r="J900" s="71" t="s">
        <v>1256</v>
      </c>
      <c r="K900" s="72"/>
      <c r="L900" s="87"/>
      <c r="M900" s="74"/>
      <c r="N900" s="44">
        <v>500</v>
      </c>
      <c r="O900" s="25" t="s">
        <v>2820</v>
      </c>
      <c r="P900" s="34"/>
    </row>
    <row r="901" spans="2:16" ht="27.75" customHeight="1">
      <c r="B901" s="25">
        <f t="shared" si="13"/>
        <v>870</v>
      </c>
      <c r="C901" s="42" t="s">
        <v>745</v>
      </c>
      <c r="D901" s="118" t="s">
        <v>744</v>
      </c>
      <c r="E901" s="26" t="e">
        <f>VLOOKUP(C901,#REF!,3,0)</f>
        <v>#REF!</v>
      </c>
      <c r="F901" s="210" t="s">
        <v>3119</v>
      </c>
      <c r="G901" s="78" t="s">
        <v>3120</v>
      </c>
      <c r="H901" s="78"/>
      <c r="I901" s="70">
        <v>2</v>
      </c>
      <c r="J901" s="71" t="s">
        <v>1256</v>
      </c>
      <c r="K901" s="72"/>
      <c r="L901" s="87"/>
      <c r="M901" s="74"/>
      <c r="N901" s="44"/>
      <c r="O901" s="25"/>
      <c r="P901" s="34"/>
    </row>
    <row r="902" spans="2:16" ht="27.75" customHeight="1">
      <c r="B902" s="25">
        <f t="shared" si="13"/>
        <v>871</v>
      </c>
      <c r="C902" s="42" t="s">
        <v>117</v>
      </c>
      <c r="D902" s="118" t="s">
        <v>117</v>
      </c>
      <c r="E902" s="26" t="e">
        <f>VLOOKUP(C902,#REF!,3,0)</f>
        <v>#REF!</v>
      </c>
      <c r="F902" s="210" t="s">
        <v>3121</v>
      </c>
      <c r="G902" s="78" t="s">
        <v>3122</v>
      </c>
      <c r="H902" s="78" t="s">
        <v>1215</v>
      </c>
      <c r="I902" s="70">
        <v>2</v>
      </c>
      <c r="J902" s="71" t="s">
        <v>1256</v>
      </c>
      <c r="K902" s="72"/>
      <c r="L902" s="87"/>
      <c r="M902" s="74"/>
      <c r="N902" s="44">
        <v>500</v>
      </c>
      <c r="O902" s="25" t="s">
        <v>3123</v>
      </c>
      <c r="P902" s="34"/>
    </row>
    <row r="903" spans="2:16" ht="27.75" customHeight="1">
      <c r="B903" s="25">
        <f t="shared" ref="B903:B966" si="14">B902+1</f>
        <v>872</v>
      </c>
      <c r="C903" s="42" t="s">
        <v>121</v>
      </c>
      <c r="D903" s="118" t="s">
        <v>117</v>
      </c>
      <c r="E903" s="26" t="e">
        <f>VLOOKUP(C903,#REF!,3,0)</f>
        <v>#REF!</v>
      </c>
      <c r="F903" s="213" t="s">
        <v>3124</v>
      </c>
      <c r="G903" s="91" t="s">
        <v>3125</v>
      </c>
      <c r="H903" s="78" t="s">
        <v>1215</v>
      </c>
      <c r="I903" s="70">
        <v>2</v>
      </c>
      <c r="J903" s="71" t="s">
        <v>1256</v>
      </c>
      <c r="K903" s="72"/>
      <c r="L903" s="87"/>
      <c r="M903" s="74"/>
      <c r="N903" s="44">
        <v>500</v>
      </c>
      <c r="O903" s="25" t="s">
        <v>3123</v>
      </c>
      <c r="P903" s="34"/>
    </row>
    <row r="904" spans="2:16" ht="27.75" customHeight="1">
      <c r="B904" s="25">
        <f t="shared" si="14"/>
        <v>873</v>
      </c>
      <c r="C904" s="42" t="s">
        <v>125</v>
      </c>
      <c r="D904" s="118" t="s">
        <v>117</v>
      </c>
      <c r="E904" s="26" t="e">
        <f>VLOOKUP(C904,#REF!,3,0)</f>
        <v>#REF!</v>
      </c>
      <c r="F904" s="213" t="s">
        <v>3126</v>
      </c>
      <c r="G904" s="91" t="s">
        <v>3127</v>
      </c>
      <c r="H904" s="78" t="s">
        <v>1215</v>
      </c>
      <c r="I904" s="70">
        <v>2</v>
      </c>
      <c r="J904" s="71" t="s">
        <v>1256</v>
      </c>
      <c r="K904" s="72"/>
      <c r="L904" s="87"/>
      <c r="M904" s="74"/>
      <c r="N904" s="44">
        <v>500</v>
      </c>
      <c r="O904" s="25" t="s">
        <v>3123</v>
      </c>
      <c r="P904" s="34"/>
    </row>
    <row r="905" spans="2:16" ht="27.75" customHeight="1">
      <c r="B905" s="25">
        <f t="shared" si="14"/>
        <v>874</v>
      </c>
      <c r="C905" s="42" t="s">
        <v>129</v>
      </c>
      <c r="D905" s="118" t="s">
        <v>117</v>
      </c>
      <c r="E905" s="26" t="e">
        <f>VLOOKUP(C905,#REF!,3,0)</f>
        <v>#REF!</v>
      </c>
      <c r="F905" s="213" t="s">
        <v>3128</v>
      </c>
      <c r="G905" s="91" t="s">
        <v>3129</v>
      </c>
      <c r="H905" s="78" t="s">
        <v>1215</v>
      </c>
      <c r="I905" s="70">
        <v>2</v>
      </c>
      <c r="J905" s="71" t="s">
        <v>1256</v>
      </c>
      <c r="K905" s="72"/>
      <c r="L905" s="87"/>
      <c r="M905" s="74"/>
      <c r="N905" s="44">
        <v>500</v>
      </c>
      <c r="O905" s="25" t="s">
        <v>3123</v>
      </c>
      <c r="P905" s="34"/>
    </row>
    <row r="906" spans="2:16" ht="27.75" customHeight="1">
      <c r="B906" s="25">
        <f t="shared" si="14"/>
        <v>875</v>
      </c>
      <c r="C906" s="42" t="s">
        <v>118</v>
      </c>
      <c r="D906" s="118" t="s">
        <v>117</v>
      </c>
      <c r="E906" s="26" t="e">
        <f>VLOOKUP(C906,#REF!,3,0)</f>
        <v>#REF!</v>
      </c>
      <c r="F906" s="213" t="s">
        <v>3130</v>
      </c>
      <c r="G906" s="91" t="s">
        <v>3131</v>
      </c>
      <c r="H906" s="78" t="s">
        <v>1215</v>
      </c>
      <c r="I906" s="70">
        <v>2</v>
      </c>
      <c r="J906" s="71" t="s">
        <v>1256</v>
      </c>
      <c r="K906" s="72"/>
      <c r="L906" s="87"/>
      <c r="M906" s="74"/>
      <c r="N906" s="44">
        <v>500</v>
      </c>
      <c r="O906" s="25" t="s">
        <v>3123</v>
      </c>
      <c r="P906" s="34"/>
    </row>
    <row r="907" spans="2:16" ht="27.75" customHeight="1">
      <c r="B907" s="25">
        <f t="shared" si="14"/>
        <v>876</v>
      </c>
      <c r="C907" s="42" t="s">
        <v>126</v>
      </c>
      <c r="D907" s="118" t="s">
        <v>117</v>
      </c>
      <c r="E907" s="26" t="e">
        <f>VLOOKUP(C907,#REF!,3,0)</f>
        <v>#REF!</v>
      </c>
      <c r="F907" s="213" t="s">
        <v>3132</v>
      </c>
      <c r="G907" s="91" t="s">
        <v>3133</v>
      </c>
      <c r="H907" s="78" t="s">
        <v>1215</v>
      </c>
      <c r="I907" s="70">
        <v>2</v>
      </c>
      <c r="J907" s="71" t="s">
        <v>1256</v>
      </c>
      <c r="K907" s="72"/>
      <c r="L907" s="87"/>
      <c r="M907" s="74"/>
      <c r="N907" s="44">
        <v>500</v>
      </c>
      <c r="O907" s="25" t="s">
        <v>3123</v>
      </c>
      <c r="P907" s="34"/>
    </row>
    <row r="908" spans="2:16" ht="27.75" customHeight="1">
      <c r="B908" s="25">
        <f t="shared" si="14"/>
        <v>877</v>
      </c>
      <c r="C908" s="42" t="s">
        <v>122</v>
      </c>
      <c r="D908" s="118" t="s">
        <v>117</v>
      </c>
      <c r="E908" s="26" t="e">
        <f>VLOOKUP(C908,#REF!,3,0)</f>
        <v>#REF!</v>
      </c>
      <c r="F908" s="213" t="s">
        <v>3134</v>
      </c>
      <c r="G908" s="91" t="s">
        <v>3135</v>
      </c>
      <c r="H908" s="78" t="s">
        <v>1215</v>
      </c>
      <c r="I908" s="70">
        <v>2</v>
      </c>
      <c r="J908" s="71" t="s">
        <v>1256</v>
      </c>
      <c r="K908" s="72"/>
      <c r="L908" s="87"/>
      <c r="M908" s="74"/>
      <c r="N908" s="44">
        <v>500</v>
      </c>
      <c r="O908" s="25" t="s">
        <v>3123</v>
      </c>
      <c r="P908" s="34"/>
    </row>
    <row r="909" spans="2:16" ht="27.75" customHeight="1">
      <c r="B909" s="25">
        <f t="shared" si="14"/>
        <v>878</v>
      </c>
      <c r="C909" s="42" t="s">
        <v>130</v>
      </c>
      <c r="D909" s="118" t="s">
        <v>117</v>
      </c>
      <c r="E909" s="26" t="e">
        <f>VLOOKUP(C909,#REF!,3,0)</f>
        <v>#REF!</v>
      </c>
      <c r="F909" s="213" t="s">
        <v>3121</v>
      </c>
      <c r="G909" s="91" t="s">
        <v>3136</v>
      </c>
      <c r="H909" s="78" t="s">
        <v>1215</v>
      </c>
      <c r="I909" s="70">
        <v>2</v>
      </c>
      <c r="J909" s="71" t="s">
        <v>1256</v>
      </c>
      <c r="K909" s="72"/>
      <c r="L909" s="87"/>
      <c r="M909" s="74"/>
      <c r="N909" s="44">
        <v>500</v>
      </c>
      <c r="O909" s="25" t="s">
        <v>3123</v>
      </c>
      <c r="P909" s="34"/>
    </row>
    <row r="910" spans="2:16" ht="27.75" customHeight="1">
      <c r="B910" s="25">
        <f t="shared" si="14"/>
        <v>879</v>
      </c>
      <c r="C910" s="42" t="s">
        <v>119</v>
      </c>
      <c r="D910" s="118" t="s">
        <v>117</v>
      </c>
      <c r="E910" s="26" t="e">
        <f>VLOOKUP(C910,#REF!,3,0)</f>
        <v>#REF!</v>
      </c>
      <c r="F910" s="213" t="s">
        <v>3137</v>
      </c>
      <c r="G910" s="91" t="s">
        <v>3138</v>
      </c>
      <c r="H910" s="78" t="s">
        <v>1215</v>
      </c>
      <c r="I910" s="70">
        <v>2</v>
      </c>
      <c r="J910" s="71" t="s">
        <v>1256</v>
      </c>
      <c r="K910" s="72"/>
      <c r="L910" s="87"/>
      <c r="M910" s="74"/>
      <c r="N910" s="44">
        <v>500</v>
      </c>
      <c r="O910" s="25" t="s">
        <v>3123</v>
      </c>
      <c r="P910" s="34"/>
    </row>
    <row r="911" spans="2:16" ht="27.75" customHeight="1">
      <c r="B911" s="25">
        <f t="shared" si="14"/>
        <v>880</v>
      </c>
      <c r="C911" s="42" t="s">
        <v>127</v>
      </c>
      <c r="D911" s="118" t="s">
        <v>117</v>
      </c>
      <c r="E911" s="26" t="e">
        <f>VLOOKUP(C911,#REF!,3,0)</f>
        <v>#REF!</v>
      </c>
      <c r="F911" s="213" t="s">
        <v>3139</v>
      </c>
      <c r="G911" s="91" t="s">
        <v>3140</v>
      </c>
      <c r="H911" s="78" t="s">
        <v>1215</v>
      </c>
      <c r="I911" s="70">
        <v>2</v>
      </c>
      <c r="J911" s="71" t="s">
        <v>1256</v>
      </c>
      <c r="K911" s="72"/>
      <c r="L911" s="87"/>
      <c r="M911" s="74"/>
      <c r="N911" s="44">
        <v>500</v>
      </c>
      <c r="O911" s="25" t="s">
        <v>3123</v>
      </c>
      <c r="P911" s="34"/>
    </row>
    <row r="912" spans="2:16" ht="27.75" customHeight="1">
      <c r="B912" s="25">
        <f t="shared" si="14"/>
        <v>881</v>
      </c>
      <c r="C912" s="42" t="s">
        <v>123</v>
      </c>
      <c r="D912" s="118" t="s">
        <v>117</v>
      </c>
      <c r="E912" s="26" t="e">
        <f>VLOOKUP(C912,#REF!,3,0)</f>
        <v>#REF!</v>
      </c>
      <c r="F912" s="213" t="s">
        <v>3141</v>
      </c>
      <c r="G912" s="91" t="s">
        <v>3142</v>
      </c>
      <c r="H912" s="78" t="s">
        <v>1215</v>
      </c>
      <c r="I912" s="70">
        <v>2</v>
      </c>
      <c r="J912" s="71" t="s">
        <v>1256</v>
      </c>
      <c r="K912" s="72"/>
      <c r="L912" s="87"/>
      <c r="M912" s="74"/>
      <c r="N912" s="44">
        <v>500</v>
      </c>
      <c r="O912" s="25" t="s">
        <v>3123</v>
      </c>
      <c r="P912" s="34"/>
    </row>
    <row r="913" spans="2:16" ht="27.75" customHeight="1">
      <c r="B913" s="25">
        <f t="shared" si="14"/>
        <v>882</v>
      </c>
      <c r="C913" s="42" t="s">
        <v>131</v>
      </c>
      <c r="D913" s="118" t="s">
        <v>117</v>
      </c>
      <c r="E913" s="26" t="e">
        <f>VLOOKUP(C913,#REF!,3,0)</f>
        <v>#REF!</v>
      </c>
      <c r="F913" s="213" t="s">
        <v>3143</v>
      </c>
      <c r="G913" s="91" t="s">
        <v>3144</v>
      </c>
      <c r="H913" s="78" t="s">
        <v>1215</v>
      </c>
      <c r="I913" s="70">
        <v>2</v>
      </c>
      <c r="J913" s="71" t="s">
        <v>1256</v>
      </c>
      <c r="K913" s="72"/>
      <c r="L913" s="87"/>
      <c r="M913" s="74"/>
      <c r="N913" s="44">
        <v>500</v>
      </c>
      <c r="O913" s="25" t="s">
        <v>3123</v>
      </c>
      <c r="P913" s="34"/>
    </row>
    <row r="914" spans="2:16" ht="27.75" customHeight="1">
      <c r="B914" s="25">
        <f t="shared" si="14"/>
        <v>883</v>
      </c>
      <c r="C914" s="42" t="s">
        <v>116</v>
      </c>
      <c r="D914" s="118" t="s">
        <v>117</v>
      </c>
      <c r="E914" s="26" t="e">
        <f>VLOOKUP(C914,#REF!,3,0)</f>
        <v>#REF!</v>
      </c>
      <c r="F914" s="213" t="s">
        <v>3145</v>
      </c>
      <c r="G914" s="91" t="s">
        <v>3146</v>
      </c>
      <c r="H914" s="78" t="s">
        <v>1215</v>
      </c>
      <c r="I914" s="70">
        <v>2</v>
      </c>
      <c r="J914" s="71" t="s">
        <v>1256</v>
      </c>
      <c r="K914" s="72"/>
      <c r="L914" s="87"/>
      <c r="M914" s="74"/>
      <c r="N914" s="44">
        <v>500</v>
      </c>
      <c r="O914" s="25" t="s">
        <v>3123</v>
      </c>
      <c r="P914" s="34"/>
    </row>
    <row r="915" spans="2:16" ht="27.75" customHeight="1">
      <c r="B915" s="25">
        <f t="shared" si="14"/>
        <v>884</v>
      </c>
      <c r="C915" s="42" t="s">
        <v>124</v>
      </c>
      <c r="D915" s="118" t="s">
        <v>117</v>
      </c>
      <c r="E915" s="26" t="e">
        <f>VLOOKUP(C915,#REF!,3,0)</f>
        <v>#REF!</v>
      </c>
      <c r="F915" s="213" t="s">
        <v>3147</v>
      </c>
      <c r="G915" s="91" t="s">
        <v>3148</v>
      </c>
      <c r="H915" s="78" t="s">
        <v>1215</v>
      </c>
      <c r="I915" s="70">
        <v>2</v>
      </c>
      <c r="J915" s="71" t="s">
        <v>1256</v>
      </c>
      <c r="K915" s="72"/>
      <c r="L915" s="87"/>
      <c r="M915" s="74"/>
      <c r="N915" s="44">
        <v>500</v>
      </c>
      <c r="O915" s="25" t="s">
        <v>3123</v>
      </c>
      <c r="P915" s="34"/>
    </row>
    <row r="916" spans="2:16" ht="27.75" customHeight="1">
      <c r="B916" s="25">
        <f t="shared" si="14"/>
        <v>885</v>
      </c>
      <c r="C916" s="42" t="s">
        <v>120</v>
      </c>
      <c r="D916" s="118" t="s">
        <v>117</v>
      </c>
      <c r="E916" s="26" t="e">
        <f>VLOOKUP(C916,#REF!,3,0)</f>
        <v>#REF!</v>
      </c>
      <c r="F916" s="213" t="s">
        <v>3147</v>
      </c>
      <c r="G916" s="91" t="s">
        <v>3148</v>
      </c>
      <c r="H916" s="78" t="s">
        <v>1215</v>
      </c>
      <c r="I916" s="70">
        <v>2</v>
      </c>
      <c r="J916" s="71" t="s">
        <v>1256</v>
      </c>
      <c r="K916" s="72"/>
      <c r="L916" s="87"/>
      <c r="M916" s="74"/>
      <c r="N916" s="44"/>
      <c r="O916" s="25"/>
      <c r="P916" s="34"/>
    </row>
    <row r="917" spans="2:16" ht="27.75" customHeight="1">
      <c r="B917" s="25">
        <f t="shared" si="14"/>
        <v>886</v>
      </c>
      <c r="C917" s="42" t="s">
        <v>128</v>
      </c>
      <c r="D917" s="118" t="s">
        <v>117</v>
      </c>
      <c r="E917" s="26" t="e">
        <f>VLOOKUP(C917,#REF!,3,0)</f>
        <v>#REF!</v>
      </c>
      <c r="F917" s="213" t="s">
        <v>3147</v>
      </c>
      <c r="G917" s="91" t="s">
        <v>3148</v>
      </c>
      <c r="H917" s="78" t="s">
        <v>1215</v>
      </c>
      <c r="I917" s="70">
        <v>2</v>
      </c>
      <c r="J917" s="71" t="s">
        <v>1256</v>
      </c>
      <c r="K917" s="72"/>
      <c r="L917" s="87"/>
      <c r="M917" s="74"/>
      <c r="N917" s="44"/>
      <c r="O917" s="25"/>
      <c r="P917" s="34"/>
    </row>
    <row r="918" spans="2:16" ht="27.75" customHeight="1">
      <c r="B918" s="25">
        <f t="shared" si="14"/>
        <v>887</v>
      </c>
      <c r="C918" s="42" t="s">
        <v>1047</v>
      </c>
      <c r="D918" s="118" t="s">
        <v>1047</v>
      </c>
      <c r="E918" s="26" t="e">
        <f>VLOOKUP(C918,#REF!,3,0)</f>
        <v>#REF!</v>
      </c>
      <c r="F918" s="210" t="s">
        <v>3149</v>
      </c>
      <c r="G918" s="78" t="s">
        <v>3150</v>
      </c>
      <c r="H918" s="78"/>
      <c r="I918" s="70">
        <v>4</v>
      </c>
      <c r="J918" s="71" t="s">
        <v>1256</v>
      </c>
      <c r="K918" s="72"/>
      <c r="L918" s="87"/>
      <c r="M918" s="74"/>
      <c r="N918" s="44">
        <v>500</v>
      </c>
      <c r="O918" s="25" t="s">
        <v>3123</v>
      </c>
      <c r="P918" s="34"/>
    </row>
    <row r="919" spans="2:16" ht="27.75" customHeight="1">
      <c r="B919" s="25">
        <f t="shared" si="14"/>
        <v>888</v>
      </c>
      <c r="C919" s="42" t="s">
        <v>800</v>
      </c>
      <c r="D919" s="118" t="s">
        <v>800</v>
      </c>
      <c r="E919" s="26" t="e">
        <f>VLOOKUP(C919,#REF!,3,0)</f>
        <v>#REF!</v>
      </c>
      <c r="F919" s="205" t="s">
        <v>3151</v>
      </c>
      <c r="G919" s="25" t="s">
        <v>3152</v>
      </c>
      <c r="H919" s="25"/>
      <c r="I919" s="70">
        <v>2</v>
      </c>
      <c r="J919" s="71" t="s">
        <v>1256</v>
      </c>
      <c r="K919" s="72"/>
      <c r="L919" s="87"/>
      <c r="M919" s="74"/>
      <c r="N919" s="44">
        <v>500</v>
      </c>
      <c r="O919" s="25" t="s">
        <v>2786</v>
      </c>
      <c r="P919" s="34"/>
    </row>
    <row r="920" spans="2:16" ht="27.75" customHeight="1">
      <c r="B920" s="25">
        <f t="shared" si="14"/>
        <v>889</v>
      </c>
      <c r="C920" s="42" t="s">
        <v>801</v>
      </c>
      <c r="D920" s="118" t="s">
        <v>800</v>
      </c>
      <c r="E920" s="26" t="e">
        <f>VLOOKUP(C920,#REF!,3,0)</f>
        <v>#REF!</v>
      </c>
      <c r="F920" s="205" t="s">
        <v>3151</v>
      </c>
      <c r="G920" s="25" t="s">
        <v>3152</v>
      </c>
      <c r="H920" s="25"/>
      <c r="I920" s="70">
        <v>2</v>
      </c>
      <c r="J920" s="71" t="s">
        <v>1256</v>
      </c>
      <c r="K920" s="72"/>
      <c r="L920" s="87"/>
      <c r="M920" s="74"/>
      <c r="N920" s="44"/>
      <c r="O920" s="25"/>
      <c r="P920" s="34"/>
    </row>
    <row r="921" spans="2:16" ht="27.75" customHeight="1">
      <c r="B921" s="25">
        <f t="shared" si="14"/>
        <v>890</v>
      </c>
      <c r="C921" s="42" t="s">
        <v>994</v>
      </c>
      <c r="D921" s="118" t="s">
        <v>994</v>
      </c>
      <c r="E921" s="26" t="e">
        <f>VLOOKUP(C921,#REF!,3,0)</f>
        <v>#REF!</v>
      </c>
      <c r="F921" s="205" t="s">
        <v>3153</v>
      </c>
      <c r="G921" s="25" t="s">
        <v>3154</v>
      </c>
      <c r="H921" s="25"/>
      <c r="I921" s="70">
        <v>2</v>
      </c>
      <c r="J921" s="71" t="s">
        <v>1256</v>
      </c>
      <c r="K921" s="72"/>
      <c r="L921" s="87"/>
      <c r="M921" s="74"/>
      <c r="N921" s="44">
        <v>500</v>
      </c>
      <c r="O921" s="25" t="s">
        <v>2786</v>
      </c>
      <c r="P921" s="34"/>
    </row>
    <row r="922" spans="2:16" ht="27.75" customHeight="1">
      <c r="B922" s="25">
        <f t="shared" si="14"/>
        <v>891</v>
      </c>
      <c r="C922" s="42" t="s">
        <v>995</v>
      </c>
      <c r="D922" s="118" t="s">
        <v>994</v>
      </c>
      <c r="E922" s="26" t="e">
        <f>VLOOKUP(C922,#REF!,3,0)</f>
        <v>#REF!</v>
      </c>
      <c r="F922" s="205" t="s">
        <v>3153</v>
      </c>
      <c r="G922" s="25" t="s">
        <v>3154</v>
      </c>
      <c r="H922" s="25"/>
      <c r="I922" s="70">
        <v>2</v>
      </c>
      <c r="J922" s="71" t="s">
        <v>1256</v>
      </c>
      <c r="K922" s="72"/>
      <c r="L922" s="87"/>
      <c r="M922" s="74"/>
      <c r="N922" s="44"/>
      <c r="O922" s="25"/>
      <c r="P922" s="34"/>
    </row>
    <row r="923" spans="2:16" ht="27.75" customHeight="1">
      <c r="B923" s="25">
        <f t="shared" si="14"/>
        <v>892</v>
      </c>
      <c r="C923" s="42" t="s">
        <v>996</v>
      </c>
      <c r="D923" s="118" t="s">
        <v>996</v>
      </c>
      <c r="E923" s="26" t="e">
        <f>VLOOKUP(C923,#REF!,3,0)</f>
        <v>#REF!</v>
      </c>
      <c r="F923" s="205" t="s">
        <v>3155</v>
      </c>
      <c r="G923" s="25" t="s">
        <v>3156</v>
      </c>
      <c r="H923" s="25"/>
      <c r="I923" s="70">
        <v>4</v>
      </c>
      <c r="J923" s="71" t="s">
        <v>1256</v>
      </c>
      <c r="K923" s="72"/>
      <c r="L923" s="87"/>
      <c r="M923" s="74"/>
      <c r="N923" s="44">
        <v>500</v>
      </c>
      <c r="O923" s="25" t="s">
        <v>2786</v>
      </c>
      <c r="P923" s="34"/>
    </row>
    <row r="924" spans="2:16" ht="27.75" customHeight="1">
      <c r="B924" s="25">
        <f t="shared" si="14"/>
        <v>893</v>
      </c>
      <c r="C924" s="42" t="s">
        <v>1078</v>
      </c>
      <c r="D924" s="118" t="s">
        <v>1078</v>
      </c>
      <c r="E924" s="26" t="e">
        <f>VLOOKUP(C924,#REF!,3,0)</f>
        <v>#REF!</v>
      </c>
      <c r="F924" s="205" t="s">
        <v>3157</v>
      </c>
      <c r="G924" s="25" t="s">
        <v>3158</v>
      </c>
      <c r="H924" s="78" t="s">
        <v>1215</v>
      </c>
      <c r="I924" s="70">
        <v>4</v>
      </c>
      <c r="J924" s="71" t="s">
        <v>1256</v>
      </c>
      <c r="K924" s="72"/>
      <c r="L924" s="87"/>
      <c r="M924" s="74"/>
      <c r="N924" s="44">
        <v>500</v>
      </c>
      <c r="O924" s="25" t="s">
        <v>2786</v>
      </c>
      <c r="P924" s="34"/>
    </row>
    <row r="925" spans="2:16" ht="27.75" customHeight="1">
      <c r="B925" s="25">
        <f t="shared" si="14"/>
        <v>894</v>
      </c>
      <c r="C925" s="42" t="s">
        <v>1079</v>
      </c>
      <c r="D925" s="118" t="s">
        <v>1078</v>
      </c>
      <c r="E925" s="26" t="e">
        <f>VLOOKUP(C925,#REF!,3,0)</f>
        <v>#REF!</v>
      </c>
      <c r="F925" s="213" t="s">
        <v>3159</v>
      </c>
      <c r="G925" s="91" t="s">
        <v>3160</v>
      </c>
      <c r="H925" s="78" t="s">
        <v>1215</v>
      </c>
      <c r="I925" s="70">
        <v>4</v>
      </c>
      <c r="J925" s="71" t="s">
        <v>1256</v>
      </c>
      <c r="K925" s="72"/>
      <c r="L925" s="87"/>
      <c r="M925" s="74"/>
      <c r="N925" s="44">
        <v>500</v>
      </c>
      <c r="O925" s="25" t="s">
        <v>2786</v>
      </c>
      <c r="P925" s="34"/>
    </row>
    <row r="926" spans="2:16" ht="27.75" customHeight="1">
      <c r="B926" s="25">
        <f t="shared" si="14"/>
        <v>895</v>
      </c>
      <c r="C926" s="42" t="s">
        <v>1080</v>
      </c>
      <c r="D926" s="118" t="s">
        <v>1080</v>
      </c>
      <c r="E926" s="26" t="e">
        <f>VLOOKUP(C926,#REF!,3,0)</f>
        <v>#REF!</v>
      </c>
      <c r="F926" s="205" t="s">
        <v>3161</v>
      </c>
      <c r="G926" s="25" t="s">
        <v>3162</v>
      </c>
      <c r="H926" s="78" t="s">
        <v>1215</v>
      </c>
      <c r="I926" s="70">
        <v>2</v>
      </c>
      <c r="J926" s="71" t="s">
        <v>1256</v>
      </c>
      <c r="K926" s="72"/>
      <c r="L926" s="87"/>
      <c r="M926" s="74"/>
      <c r="N926" s="44">
        <v>500</v>
      </c>
      <c r="O926" s="25" t="s">
        <v>2786</v>
      </c>
      <c r="P926" s="34"/>
    </row>
    <row r="927" spans="2:16" ht="27.75" customHeight="1">
      <c r="B927" s="25">
        <f t="shared" si="14"/>
        <v>896</v>
      </c>
      <c r="C927" s="42" t="s">
        <v>1081</v>
      </c>
      <c r="D927" s="118" t="s">
        <v>1080</v>
      </c>
      <c r="E927" s="26" t="e">
        <f>VLOOKUP(C927,#REF!,3,0)</f>
        <v>#REF!</v>
      </c>
      <c r="F927" s="213" t="s">
        <v>3163</v>
      </c>
      <c r="G927" s="91" t="s">
        <v>3164</v>
      </c>
      <c r="H927" s="78" t="s">
        <v>1215</v>
      </c>
      <c r="I927" s="70">
        <v>2</v>
      </c>
      <c r="J927" s="71" t="s">
        <v>1256</v>
      </c>
      <c r="K927" s="72"/>
      <c r="L927" s="87"/>
      <c r="M927" s="74"/>
      <c r="N927" s="44">
        <v>500</v>
      </c>
      <c r="O927" s="25" t="s">
        <v>2786</v>
      </c>
      <c r="P927" s="34"/>
    </row>
    <row r="928" spans="2:16" ht="27.75" customHeight="1">
      <c r="B928" s="25">
        <f t="shared" si="14"/>
        <v>897</v>
      </c>
      <c r="C928" s="42" t="s">
        <v>714</v>
      </c>
      <c r="D928" s="118" t="s">
        <v>714</v>
      </c>
      <c r="E928" s="26" t="e">
        <f>VLOOKUP(C928,#REF!,3,0)</f>
        <v>#REF!</v>
      </c>
      <c r="F928" s="210" t="s">
        <v>3165</v>
      </c>
      <c r="G928" s="78" t="s">
        <v>3166</v>
      </c>
      <c r="H928" s="78" t="s">
        <v>1215</v>
      </c>
      <c r="I928" s="70">
        <v>2</v>
      </c>
      <c r="J928" s="71" t="s">
        <v>1256</v>
      </c>
      <c r="K928" s="72"/>
      <c r="L928" s="87"/>
      <c r="M928" s="74"/>
      <c r="N928" s="44">
        <v>500</v>
      </c>
      <c r="O928" s="25" t="s">
        <v>3167</v>
      </c>
      <c r="P928" s="34"/>
    </row>
    <row r="929" spans="2:16" ht="27.75" customHeight="1">
      <c r="B929" s="25">
        <f t="shared" si="14"/>
        <v>898</v>
      </c>
      <c r="C929" s="42" t="s">
        <v>715</v>
      </c>
      <c r="D929" s="118" t="s">
        <v>714</v>
      </c>
      <c r="E929" s="26" t="e">
        <f>VLOOKUP(C929,#REF!,3,0)</f>
        <v>#REF!</v>
      </c>
      <c r="F929" s="221" t="s">
        <v>3168</v>
      </c>
      <c r="G929" s="121" t="s">
        <v>3169</v>
      </c>
      <c r="H929" s="78" t="s">
        <v>1215</v>
      </c>
      <c r="I929" s="70">
        <v>2</v>
      </c>
      <c r="J929" s="71" t="s">
        <v>1256</v>
      </c>
      <c r="K929" s="72"/>
      <c r="L929" s="87"/>
      <c r="M929" s="74"/>
      <c r="N929" s="44">
        <v>500</v>
      </c>
      <c r="O929" s="25" t="s">
        <v>3167</v>
      </c>
      <c r="P929" s="34"/>
    </row>
    <row r="930" spans="2:16" ht="27.75" customHeight="1">
      <c r="B930" s="25">
        <f t="shared" si="14"/>
        <v>899</v>
      </c>
      <c r="C930" s="42" t="s">
        <v>404</v>
      </c>
      <c r="D930" s="118" t="s">
        <v>404</v>
      </c>
      <c r="E930" s="26" t="e">
        <f>VLOOKUP(C930,#REF!,3,0)</f>
        <v>#REF!</v>
      </c>
      <c r="F930" s="210" t="s">
        <v>3170</v>
      </c>
      <c r="G930" s="78" t="s">
        <v>3171</v>
      </c>
      <c r="H930" s="78"/>
      <c r="I930" s="70">
        <v>2</v>
      </c>
      <c r="J930" s="71" t="s">
        <v>1256</v>
      </c>
      <c r="K930" s="72"/>
      <c r="L930" s="87"/>
      <c r="M930" s="74"/>
      <c r="N930" s="44">
        <v>500</v>
      </c>
      <c r="O930" s="25" t="s">
        <v>1609</v>
      </c>
      <c r="P930" s="34"/>
    </row>
    <row r="931" spans="2:16" ht="27.75" customHeight="1">
      <c r="B931" s="25">
        <f t="shared" si="14"/>
        <v>900</v>
      </c>
      <c r="C931" s="42" t="s">
        <v>479</v>
      </c>
      <c r="D931" s="118" t="s">
        <v>479</v>
      </c>
      <c r="E931" s="26" t="e">
        <f>VLOOKUP(C931,#REF!,3,0)</f>
        <v>#REF!</v>
      </c>
      <c r="F931" s="210" t="s">
        <v>3172</v>
      </c>
      <c r="G931" s="78" t="s">
        <v>2444</v>
      </c>
      <c r="H931" s="78"/>
      <c r="I931" s="70">
        <v>2</v>
      </c>
      <c r="J931" s="71" t="s">
        <v>1256</v>
      </c>
      <c r="K931" s="72"/>
      <c r="L931" s="87"/>
      <c r="M931" s="74"/>
      <c r="N931" s="44">
        <v>500</v>
      </c>
      <c r="O931" s="25" t="s">
        <v>1609</v>
      </c>
      <c r="P931" s="34"/>
    </row>
    <row r="932" spans="2:16" ht="27.75" customHeight="1">
      <c r="B932" s="25">
        <f t="shared" si="14"/>
        <v>901</v>
      </c>
      <c r="C932" s="42" t="s">
        <v>134</v>
      </c>
      <c r="D932" s="118" t="s">
        <v>134</v>
      </c>
      <c r="E932" s="26" t="e">
        <f>VLOOKUP(C932,#REF!,3,0)</f>
        <v>#REF!</v>
      </c>
      <c r="F932" s="210" t="s">
        <v>3173</v>
      </c>
      <c r="G932" s="78" t="s">
        <v>3174</v>
      </c>
      <c r="H932" s="78"/>
      <c r="I932" s="70">
        <v>2</v>
      </c>
      <c r="J932" s="71" t="s">
        <v>1256</v>
      </c>
      <c r="K932" s="72"/>
      <c r="L932" s="87"/>
      <c r="M932" s="74"/>
      <c r="N932" s="44">
        <v>500</v>
      </c>
      <c r="O932" s="25" t="s">
        <v>1609</v>
      </c>
      <c r="P932" s="34"/>
    </row>
    <row r="933" spans="2:16" ht="27.75" customHeight="1">
      <c r="B933" s="25">
        <f t="shared" si="14"/>
        <v>902</v>
      </c>
      <c r="C933" s="42" t="s">
        <v>805</v>
      </c>
      <c r="D933" s="118" t="s">
        <v>805</v>
      </c>
      <c r="E933" s="26" t="e">
        <f>VLOOKUP(C933,#REF!,3,0)</f>
        <v>#REF!</v>
      </c>
      <c r="F933" s="210" t="s">
        <v>3175</v>
      </c>
      <c r="G933" s="78" t="s">
        <v>3176</v>
      </c>
      <c r="H933" s="78"/>
      <c r="I933" s="70">
        <v>2</v>
      </c>
      <c r="J933" s="71" t="s">
        <v>1256</v>
      </c>
      <c r="K933" s="72"/>
      <c r="L933" s="87"/>
      <c r="M933" s="74"/>
      <c r="N933" s="44">
        <v>500</v>
      </c>
      <c r="O933" s="25" t="s">
        <v>1609</v>
      </c>
      <c r="P933" s="34"/>
    </row>
    <row r="934" spans="2:16" ht="27.75" customHeight="1">
      <c r="B934" s="25">
        <f t="shared" si="14"/>
        <v>903</v>
      </c>
      <c r="C934" s="42" t="s">
        <v>442</v>
      </c>
      <c r="D934" s="118" t="s">
        <v>442</v>
      </c>
      <c r="E934" s="26" t="e">
        <f>VLOOKUP(C934,#REF!,3,0)</f>
        <v>#REF!</v>
      </c>
      <c r="F934" s="210" t="s">
        <v>3177</v>
      </c>
      <c r="G934" s="78" t="s">
        <v>3178</v>
      </c>
      <c r="H934" s="78"/>
      <c r="I934" s="70">
        <v>2</v>
      </c>
      <c r="J934" s="71" t="s">
        <v>1256</v>
      </c>
      <c r="K934" s="72"/>
      <c r="L934" s="87"/>
      <c r="M934" s="74"/>
      <c r="N934" s="44">
        <v>500</v>
      </c>
      <c r="O934" s="25" t="s">
        <v>1609</v>
      </c>
      <c r="P934" s="34"/>
    </row>
    <row r="935" spans="2:16" ht="27.75" customHeight="1">
      <c r="B935" s="25">
        <f t="shared" si="14"/>
        <v>904</v>
      </c>
      <c r="C935" s="42" t="s">
        <v>97</v>
      </c>
      <c r="D935" s="118" t="s">
        <v>97</v>
      </c>
      <c r="E935" s="26" t="e">
        <f>VLOOKUP(C935,#REF!,3,0)</f>
        <v>#REF!</v>
      </c>
      <c r="F935" s="210" t="s">
        <v>3179</v>
      </c>
      <c r="G935" s="78" t="s">
        <v>3180</v>
      </c>
      <c r="H935" s="78"/>
      <c r="I935" s="70">
        <v>2</v>
      </c>
      <c r="J935" s="71" t="s">
        <v>1256</v>
      </c>
      <c r="K935" s="72"/>
      <c r="L935" s="87"/>
      <c r="M935" s="74"/>
      <c r="N935" s="44">
        <v>500</v>
      </c>
      <c r="O935" s="25" t="s">
        <v>1360</v>
      </c>
      <c r="P935" s="34"/>
    </row>
    <row r="936" spans="2:16" ht="27.75" customHeight="1">
      <c r="B936" s="25">
        <f t="shared" si="14"/>
        <v>905</v>
      </c>
      <c r="C936" s="42" t="s">
        <v>96</v>
      </c>
      <c r="D936" s="118" t="s">
        <v>96</v>
      </c>
      <c r="E936" s="26" t="e">
        <f>VLOOKUP(C936,#REF!,3,0)</f>
        <v>#REF!</v>
      </c>
      <c r="F936" s="210" t="s">
        <v>3181</v>
      </c>
      <c r="G936" s="78" t="s">
        <v>3182</v>
      </c>
      <c r="H936" s="78"/>
      <c r="I936" s="70">
        <v>2</v>
      </c>
      <c r="J936" s="71" t="s">
        <v>1256</v>
      </c>
      <c r="K936" s="72"/>
      <c r="L936" s="87"/>
      <c r="M936" s="74"/>
      <c r="N936" s="44">
        <v>500</v>
      </c>
      <c r="O936" s="25" t="s">
        <v>1609</v>
      </c>
      <c r="P936" s="34"/>
    </row>
    <row r="937" spans="2:16" ht="27.75" customHeight="1">
      <c r="B937" s="25">
        <f t="shared" si="14"/>
        <v>906</v>
      </c>
      <c r="C937" s="42" t="s">
        <v>461</v>
      </c>
      <c r="D937" s="118" t="s">
        <v>461</v>
      </c>
      <c r="E937" s="26" t="e">
        <f>VLOOKUP(C937,#REF!,3,0)</f>
        <v>#REF!</v>
      </c>
      <c r="F937" s="210" t="s">
        <v>3183</v>
      </c>
      <c r="G937" s="78" t="s">
        <v>3184</v>
      </c>
      <c r="H937" s="78"/>
      <c r="I937" s="70">
        <v>2</v>
      </c>
      <c r="J937" s="71" t="s">
        <v>1256</v>
      </c>
      <c r="K937" s="72"/>
      <c r="L937" s="87"/>
      <c r="M937" s="74"/>
      <c r="N937" s="44">
        <v>500</v>
      </c>
      <c r="O937" s="25" t="s">
        <v>1609</v>
      </c>
      <c r="P937" s="34"/>
    </row>
    <row r="938" spans="2:16" ht="27.75" customHeight="1">
      <c r="B938" s="25">
        <f t="shared" si="14"/>
        <v>907</v>
      </c>
      <c r="C938" s="42" t="s">
        <v>749</v>
      </c>
      <c r="D938" s="118" t="s">
        <v>749</v>
      </c>
      <c r="E938" s="26" t="e">
        <f>VLOOKUP(C938,#REF!,3,0)</f>
        <v>#REF!</v>
      </c>
      <c r="F938" s="210" t="s">
        <v>3185</v>
      </c>
      <c r="G938" s="78" t="s">
        <v>3186</v>
      </c>
      <c r="H938" s="78"/>
      <c r="I938" s="70">
        <v>2</v>
      </c>
      <c r="J938" s="71" t="s">
        <v>1256</v>
      </c>
      <c r="K938" s="72"/>
      <c r="L938" s="73"/>
      <c r="M938" s="74"/>
      <c r="N938" s="44">
        <v>500</v>
      </c>
      <c r="O938" s="25" t="s">
        <v>1609</v>
      </c>
      <c r="P938" s="34"/>
    </row>
    <row r="939" spans="2:16" ht="27.75" customHeight="1">
      <c r="B939" s="25">
        <f t="shared" si="14"/>
        <v>908</v>
      </c>
      <c r="C939" s="42" t="s">
        <v>750</v>
      </c>
      <c r="D939" s="118" t="s">
        <v>750</v>
      </c>
      <c r="E939" s="26" t="e">
        <f>VLOOKUP(C939,#REF!,3,0)</f>
        <v>#REF!</v>
      </c>
      <c r="F939" s="210" t="s">
        <v>3187</v>
      </c>
      <c r="G939" s="78" t="s">
        <v>3188</v>
      </c>
      <c r="H939" s="78"/>
      <c r="I939" s="70">
        <v>2</v>
      </c>
      <c r="J939" s="71" t="s">
        <v>1256</v>
      </c>
      <c r="K939" s="72"/>
      <c r="L939" s="87"/>
      <c r="M939" s="74"/>
      <c r="N939" s="44">
        <v>500</v>
      </c>
      <c r="O939" s="25" t="s">
        <v>1609</v>
      </c>
      <c r="P939" s="34"/>
    </row>
    <row r="940" spans="2:16" ht="27.75" customHeight="1">
      <c r="B940" s="25">
        <f t="shared" si="14"/>
        <v>909</v>
      </c>
      <c r="C940" s="42" t="s">
        <v>61</v>
      </c>
      <c r="D940" s="118" t="s">
        <v>61</v>
      </c>
      <c r="E940" s="26" t="e">
        <f>VLOOKUP(C940,#REF!,3,0)</f>
        <v>#REF!</v>
      </c>
      <c r="F940" s="205" t="s">
        <v>3189</v>
      </c>
      <c r="G940" s="25" t="s">
        <v>3190</v>
      </c>
      <c r="H940" s="25"/>
      <c r="I940" s="70">
        <v>4</v>
      </c>
      <c r="J940" s="71" t="s">
        <v>1256</v>
      </c>
      <c r="K940" s="72"/>
      <c r="L940" s="87"/>
      <c r="M940" s="74"/>
      <c r="N940" s="44">
        <v>500</v>
      </c>
      <c r="O940" s="25" t="s">
        <v>1609</v>
      </c>
      <c r="P940" s="34"/>
    </row>
    <row r="941" spans="2:16" ht="27.75" customHeight="1">
      <c r="B941" s="25">
        <f t="shared" si="14"/>
        <v>910</v>
      </c>
      <c r="C941" s="42" t="s">
        <v>62</v>
      </c>
      <c r="D941" s="118" t="s">
        <v>61</v>
      </c>
      <c r="E941" s="26" t="e">
        <f>VLOOKUP(C941,#REF!,3,0)</f>
        <v>#REF!</v>
      </c>
      <c r="F941" s="205" t="s">
        <v>3189</v>
      </c>
      <c r="G941" s="25" t="s">
        <v>3190</v>
      </c>
      <c r="H941" s="25"/>
      <c r="I941" s="70">
        <v>4</v>
      </c>
      <c r="J941" s="71" t="s">
        <v>1256</v>
      </c>
      <c r="K941" s="72"/>
      <c r="L941" s="87"/>
      <c r="M941" s="74"/>
      <c r="N941" s="44"/>
      <c r="O941" s="25"/>
      <c r="P941" s="34"/>
    </row>
    <row r="942" spans="2:16" ht="27.75" customHeight="1">
      <c r="B942" s="25">
        <f t="shared" si="14"/>
        <v>911</v>
      </c>
      <c r="C942" s="42" t="s">
        <v>1051</v>
      </c>
      <c r="D942" s="118" t="s">
        <v>1051</v>
      </c>
      <c r="E942" s="26" t="e">
        <f>VLOOKUP(C942,#REF!,3,0)</f>
        <v>#REF!</v>
      </c>
      <c r="F942" s="210" t="s">
        <v>3191</v>
      </c>
      <c r="G942" s="78" t="s">
        <v>3192</v>
      </c>
      <c r="H942" s="78"/>
      <c r="I942" s="70">
        <v>2</v>
      </c>
      <c r="J942" s="71" t="s">
        <v>1256</v>
      </c>
      <c r="K942" s="72"/>
      <c r="L942" s="87"/>
      <c r="M942" s="74"/>
      <c r="N942" s="44">
        <v>500</v>
      </c>
      <c r="O942" s="25" t="s">
        <v>1609</v>
      </c>
      <c r="P942" s="34"/>
    </row>
    <row r="943" spans="2:16" ht="27.75" customHeight="1">
      <c r="B943" s="25">
        <f t="shared" si="14"/>
        <v>912</v>
      </c>
      <c r="C943" s="42" t="s">
        <v>382</v>
      </c>
      <c r="D943" s="118" t="s">
        <v>382</v>
      </c>
      <c r="E943" s="26" t="e">
        <f>VLOOKUP(C943,#REF!,3,0)</f>
        <v>#REF!</v>
      </c>
      <c r="F943" s="210" t="s">
        <v>3193</v>
      </c>
      <c r="G943" s="78" t="s">
        <v>3194</v>
      </c>
      <c r="H943" s="78"/>
      <c r="I943" s="70">
        <v>4</v>
      </c>
      <c r="J943" s="71" t="s">
        <v>1256</v>
      </c>
      <c r="K943" s="72"/>
      <c r="L943" s="87"/>
      <c r="M943" s="74"/>
      <c r="N943" s="44">
        <v>500</v>
      </c>
      <c r="O943" s="25" t="s">
        <v>1609</v>
      </c>
      <c r="P943" s="34"/>
    </row>
    <row r="944" spans="2:16" ht="27.75" customHeight="1">
      <c r="B944" s="25">
        <f t="shared" si="14"/>
        <v>913</v>
      </c>
      <c r="C944" s="42" t="s">
        <v>89</v>
      </c>
      <c r="D944" s="118" t="s">
        <v>89</v>
      </c>
      <c r="E944" s="26" t="e">
        <f>VLOOKUP(C944,#REF!,3,0)</f>
        <v>#REF!</v>
      </c>
      <c r="F944" s="210" t="s">
        <v>3195</v>
      </c>
      <c r="G944" s="78" t="s">
        <v>3196</v>
      </c>
      <c r="H944" s="78"/>
      <c r="I944" s="70">
        <v>2</v>
      </c>
      <c r="J944" s="71" t="s">
        <v>1256</v>
      </c>
      <c r="K944" s="72"/>
      <c r="L944" s="87"/>
      <c r="M944" s="74"/>
      <c r="N944" s="44">
        <v>500</v>
      </c>
      <c r="O944" s="25" t="s">
        <v>1609</v>
      </c>
      <c r="P944" s="34"/>
    </row>
    <row r="945" spans="2:16" ht="27.75" customHeight="1">
      <c r="B945" s="25">
        <f t="shared" si="14"/>
        <v>914</v>
      </c>
      <c r="C945" s="42" t="s">
        <v>90</v>
      </c>
      <c r="D945" s="118" t="s">
        <v>89</v>
      </c>
      <c r="E945" s="26" t="e">
        <f>VLOOKUP(C945,#REF!,3,0)</f>
        <v>#REF!</v>
      </c>
      <c r="F945" s="210" t="s">
        <v>3195</v>
      </c>
      <c r="G945" s="78" t="s">
        <v>3196</v>
      </c>
      <c r="H945" s="78"/>
      <c r="I945" s="70">
        <v>2</v>
      </c>
      <c r="J945" s="71" t="s">
        <v>1256</v>
      </c>
      <c r="K945" s="72"/>
      <c r="L945" s="87"/>
      <c r="M945" s="74"/>
      <c r="N945" s="44"/>
      <c r="O945" s="25"/>
      <c r="P945" s="34"/>
    </row>
    <row r="946" spans="2:16" ht="27.75" customHeight="1">
      <c r="B946" s="25">
        <f t="shared" si="14"/>
        <v>915</v>
      </c>
      <c r="C946" s="42" t="s">
        <v>113</v>
      </c>
      <c r="D946" s="118" t="s">
        <v>113</v>
      </c>
      <c r="E946" s="26" t="e">
        <f>VLOOKUP(C946,#REF!,3,0)</f>
        <v>#REF!</v>
      </c>
      <c r="F946" s="210" t="s">
        <v>3197</v>
      </c>
      <c r="G946" s="78" t="s">
        <v>3198</v>
      </c>
      <c r="H946" s="78"/>
      <c r="I946" s="70">
        <v>2</v>
      </c>
      <c r="J946" s="71" t="s">
        <v>1256</v>
      </c>
      <c r="K946" s="72"/>
      <c r="L946" s="87"/>
      <c r="M946" s="74"/>
      <c r="N946" s="44">
        <v>500</v>
      </c>
      <c r="O946" s="25" t="s">
        <v>1609</v>
      </c>
      <c r="P946" s="34"/>
    </row>
    <row r="947" spans="2:16" ht="27.75" customHeight="1">
      <c r="B947" s="25">
        <f t="shared" si="14"/>
        <v>916</v>
      </c>
      <c r="C947" s="42" t="s">
        <v>237</v>
      </c>
      <c r="D947" s="118" t="s">
        <v>237</v>
      </c>
      <c r="E947" s="26" t="e">
        <f>VLOOKUP(C947,#REF!,3,0)</f>
        <v>#REF!</v>
      </c>
      <c r="F947" s="210" t="s">
        <v>3199</v>
      </c>
      <c r="G947" s="78" t="s">
        <v>3200</v>
      </c>
      <c r="H947" s="78"/>
      <c r="I947" s="70">
        <v>2</v>
      </c>
      <c r="J947" s="71" t="s">
        <v>1256</v>
      </c>
      <c r="K947" s="72"/>
      <c r="L947" s="87"/>
      <c r="M947" s="74"/>
      <c r="N947" s="44">
        <v>500</v>
      </c>
      <c r="O947" s="25" t="s">
        <v>1609</v>
      </c>
      <c r="P947" s="34"/>
    </row>
    <row r="948" spans="2:16" ht="27.75" customHeight="1">
      <c r="B948" s="25">
        <f t="shared" si="14"/>
        <v>917</v>
      </c>
      <c r="C948" s="42" t="s">
        <v>238</v>
      </c>
      <c r="D948" s="118" t="s">
        <v>237</v>
      </c>
      <c r="E948" s="26" t="e">
        <f>VLOOKUP(C948,#REF!,3,0)</f>
        <v>#REF!</v>
      </c>
      <c r="F948" s="210" t="s">
        <v>3199</v>
      </c>
      <c r="G948" s="78" t="s">
        <v>3200</v>
      </c>
      <c r="H948" s="78"/>
      <c r="I948" s="70">
        <v>2</v>
      </c>
      <c r="J948" s="71" t="s">
        <v>1256</v>
      </c>
      <c r="K948" s="72"/>
      <c r="L948" s="87"/>
      <c r="M948" s="74"/>
      <c r="N948" s="44">
        <v>500</v>
      </c>
      <c r="O948" s="25" t="s">
        <v>1609</v>
      </c>
      <c r="P948" s="34"/>
    </row>
    <row r="949" spans="2:16" ht="27.75" customHeight="1">
      <c r="B949" s="25">
        <f t="shared" si="14"/>
        <v>918</v>
      </c>
      <c r="C949" s="42" t="s">
        <v>1057</v>
      </c>
      <c r="D949" s="118" t="s">
        <v>1057</v>
      </c>
      <c r="E949" s="26" t="e">
        <f>VLOOKUP(C949,#REF!,3,0)</f>
        <v>#REF!</v>
      </c>
      <c r="F949" s="210" t="s">
        <v>3201</v>
      </c>
      <c r="G949" s="78" t="s">
        <v>3202</v>
      </c>
      <c r="H949" s="78"/>
      <c r="I949" s="70">
        <v>2</v>
      </c>
      <c r="J949" s="71" t="s">
        <v>1256</v>
      </c>
      <c r="K949" s="72"/>
      <c r="L949" s="87"/>
      <c r="M949" s="74"/>
      <c r="N949" s="44">
        <v>500</v>
      </c>
      <c r="O949" s="25" t="s">
        <v>1609</v>
      </c>
      <c r="P949" s="34"/>
    </row>
    <row r="950" spans="2:16" ht="27.75" customHeight="1">
      <c r="B950" s="25">
        <f t="shared" si="14"/>
        <v>919</v>
      </c>
      <c r="C950" s="42" t="s">
        <v>1058</v>
      </c>
      <c r="D950" s="118" t="s">
        <v>1057</v>
      </c>
      <c r="E950" s="26" t="e">
        <f>VLOOKUP(C950,#REF!,3,0)</f>
        <v>#REF!</v>
      </c>
      <c r="F950" s="210" t="s">
        <v>3201</v>
      </c>
      <c r="G950" s="78" t="s">
        <v>3202</v>
      </c>
      <c r="H950" s="78"/>
      <c r="I950" s="70">
        <v>2</v>
      </c>
      <c r="J950" s="71" t="s">
        <v>1256</v>
      </c>
      <c r="K950" s="72"/>
      <c r="L950" s="87"/>
      <c r="M950" s="74"/>
      <c r="N950" s="44"/>
      <c r="O950" s="25"/>
      <c r="P950" s="34"/>
    </row>
    <row r="951" spans="2:16" ht="27.75" customHeight="1">
      <c r="B951" s="25">
        <f t="shared" si="14"/>
        <v>920</v>
      </c>
      <c r="C951" s="42" t="s">
        <v>133</v>
      </c>
      <c r="D951" s="118" t="s">
        <v>133</v>
      </c>
      <c r="E951" s="26" t="e">
        <f>VLOOKUP(C951,#REF!,3,0)</f>
        <v>#REF!</v>
      </c>
      <c r="F951" s="210" t="s">
        <v>3203</v>
      </c>
      <c r="G951" s="78" t="s">
        <v>3204</v>
      </c>
      <c r="H951" s="78"/>
      <c r="I951" s="70">
        <v>2</v>
      </c>
      <c r="J951" s="71" t="s">
        <v>1256</v>
      </c>
      <c r="K951" s="72"/>
      <c r="L951" s="87"/>
      <c r="M951" s="74"/>
      <c r="N951" s="44">
        <v>500</v>
      </c>
      <c r="O951" s="25" t="s">
        <v>1609</v>
      </c>
      <c r="P951" s="34"/>
    </row>
    <row r="952" spans="2:16" ht="27.75" customHeight="1">
      <c r="B952" s="25">
        <f t="shared" si="14"/>
        <v>921</v>
      </c>
      <c r="C952" s="42" t="s">
        <v>722</v>
      </c>
      <c r="D952" s="118" t="s">
        <v>722</v>
      </c>
      <c r="E952" s="26" t="e">
        <f>VLOOKUP(C952,#REF!,3,0)</f>
        <v>#REF!</v>
      </c>
      <c r="F952" s="210" t="s">
        <v>3205</v>
      </c>
      <c r="G952" s="78" t="s">
        <v>3206</v>
      </c>
      <c r="H952" s="78" t="s">
        <v>1215</v>
      </c>
      <c r="I952" s="70">
        <v>4</v>
      </c>
      <c r="J952" s="71" t="s">
        <v>1256</v>
      </c>
      <c r="K952" s="72"/>
      <c r="L952" s="87"/>
      <c r="M952" s="74"/>
      <c r="N952" s="44">
        <v>500</v>
      </c>
      <c r="O952" s="25" t="s">
        <v>1609</v>
      </c>
      <c r="P952" s="34"/>
    </row>
    <row r="953" spans="2:16" ht="27.75" customHeight="1">
      <c r="B953" s="25">
        <f t="shared" si="14"/>
        <v>922</v>
      </c>
      <c r="C953" s="42" t="s">
        <v>723</v>
      </c>
      <c r="D953" s="118" t="s">
        <v>722</v>
      </c>
      <c r="E953" s="26" t="e">
        <f>VLOOKUP(C953,#REF!,3,0)</f>
        <v>#REF!</v>
      </c>
      <c r="F953" s="213" t="s">
        <v>3207</v>
      </c>
      <c r="G953" s="91" t="s">
        <v>3208</v>
      </c>
      <c r="H953" s="78" t="s">
        <v>1215</v>
      </c>
      <c r="I953" s="70">
        <v>4</v>
      </c>
      <c r="J953" s="71" t="s">
        <v>1256</v>
      </c>
      <c r="K953" s="72"/>
      <c r="L953" s="87"/>
      <c r="M953" s="74"/>
      <c r="N953" s="44">
        <v>500</v>
      </c>
      <c r="O953" s="25" t="s">
        <v>1609</v>
      </c>
      <c r="P953" s="34"/>
    </row>
    <row r="954" spans="2:16" ht="27.75" customHeight="1">
      <c r="B954" s="25">
        <f t="shared" si="14"/>
        <v>923</v>
      </c>
      <c r="C954" s="42" t="s">
        <v>37</v>
      </c>
      <c r="D954" s="118" t="s">
        <v>37</v>
      </c>
      <c r="E954" s="26" t="e">
        <f>VLOOKUP(C954,#REF!,3,0)</f>
        <v>#REF!</v>
      </c>
      <c r="F954" s="210" t="s">
        <v>3209</v>
      </c>
      <c r="G954" s="78" t="s">
        <v>3210</v>
      </c>
      <c r="H954" s="78"/>
      <c r="I954" s="70">
        <v>2</v>
      </c>
      <c r="J954" s="71" t="s">
        <v>1256</v>
      </c>
      <c r="K954" s="72"/>
      <c r="L954" s="87"/>
      <c r="M954" s="74"/>
      <c r="N954" s="44">
        <v>500</v>
      </c>
      <c r="O954" s="25" t="s">
        <v>3211</v>
      </c>
      <c r="P954" s="34"/>
    </row>
    <row r="955" spans="2:16" ht="27.75" customHeight="1">
      <c r="B955" s="25">
        <f t="shared" si="14"/>
        <v>924</v>
      </c>
      <c r="C955" s="42" t="s">
        <v>177</v>
      </c>
      <c r="D955" s="118" t="s">
        <v>177</v>
      </c>
      <c r="E955" s="26" t="e">
        <f>VLOOKUP(C955,#REF!,3,0)</f>
        <v>#REF!</v>
      </c>
      <c r="F955" s="210" t="s">
        <v>3212</v>
      </c>
      <c r="G955" s="78" t="s">
        <v>3213</v>
      </c>
      <c r="H955" s="78"/>
      <c r="I955" s="70">
        <v>2</v>
      </c>
      <c r="J955" s="71" t="s">
        <v>1256</v>
      </c>
      <c r="K955" s="72"/>
      <c r="L955" s="87"/>
      <c r="M955" s="74"/>
      <c r="N955" s="44">
        <v>500</v>
      </c>
      <c r="O955" s="25" t="s">
        <v>3211</v>
      </c>
      <c r="P955" s="34"/>
    </row>
    <row r="956" spans="2:16" ht="27.75" customHeight="1">
      <c r="B956" s="25">
        <f t="shared" si="14"/>
        <v>925</v>
      </c>
      <c r="C956" s="42" t="s">
        <v>685</v>
      </c>
      <c r="D956" s="118" t="s">
        <v>685</v>
      </c>
      <c r="E956" s="26" t="e">
        <f>VLOOKUP(C956,#REF!,3,0)</f>
        <v>#REF!</v>
      </c>
      <c r="F956" s="205" t="s">
        <v>3214</v>
      </c>
      <c r="G956" s="25" t="s">
        <v>3215</v>
      </c>
      <c r="H956" s="78" t="s">
        <v>1215</v>
      </c>
      <c r="I956" s="70">
        <v>2</v>
      </c>
      <c r="J956" s="71" t="s">
        <v>1256</v>
      </c>
      <c r="K956" s="72"/>
      <c r="L956" s="87"/>
      <c r="M956" s="74"/>
      <c r="N956" s="44">
        <v>500</v>
      </c>
      <c r="O956" s="25" t="s">
        <v>2820</v>
      </c>
      <c r="P956" s="34"/>
    </row>
    <row r="957" spans="2:16" ht="27.75" customHeight="1">
      <c r="B957" s="25">
        <f t="shared" si="14"/>
        <v>926</v>
      </c>
      <c r="C957" s="42" t="s">
        <v>686</v>
      </c>
      <c r="D957" s="118" t="s">
        <v>685</v>
      </c>
      <c r="E957" s="26" t="e">
        <f>VLOOKUP(C957,#REF!,3,0)</f>
        <v>#REF!</v>
      </c>
      <c r="F957" s="222" t="s">
        <v>3216</v>
      </c>
      <c r="G957" s="121" t="s">
        <v>3217</v>
      </c>
      <c r="H957" s="78" t="s">
        <v>1215</v>
      </c>
      <c r="I957" s="70">
        <v>2</v>
      </c>
      <c r="J957" s="71" t="s">
        <v>1256</v>
      </c>
      <c r="K957" s="72"/>
      <c r="L957" s="87"/>
      <c r="M957" s="74"/>
      <c r="N957" s="44">
        <v>500</v>
      </c>
      <c r="O957" s="25" t="s">
        <v>2820</v>
      </c>
      <c r="P957" s="34"/>
    </row>
    <row r="958" spans="2:16" ht="27.75" customHeight="1">
      <c r="B958" s="25">
        <f t="shared" si="14"/>
        <v>927</v>
      </c>
      <c r="C958" s="42" t="s">
        <v>693</v>
      </c>
      <c r="D958" s="118" t="s">
        <v>693</v>
      </c>
      <c r="E958" s="26" t="e">
        <f>VLOOKUP(C958,#REF!,3,0)</f>
        <v>#REF!</v>
      </c>
      <c r="F958" s="205" t="s">
        <v>3218</v>
      </c>
      <c r="G958" s="25" t="s">
        <v>3219</v>
      </c>
      <c r="H958" s="78" t="s">
        <v>1215</v>
      </c>
      <c r="I958" s="70">
        <v>2</v>
      </c>
      <c r="J958" s="71" t="s">
        <v>1256</v>
      </c>
      <c r="K958" s="72"/>
      <c r="L958" s="87"/>
      <c r="M958" s="74"/>
      <c r="N958" s="44">
        <v>500</v>
      </c>
      <c r="O958" s="25" t="s">
        <v>2820</v>
      </c>
      <c r="P958" s="34"/>
    </row>
    <row r="959" spans="2:16" ht="27.75" customHeight="1">
      <c r="B959" s="25">
        <f t="shared" si="14"/>
        <v>928</v>
      </c>
      <c r="C959" s="42" t="s">
        <v>694</v>
      </c>
      <c r="D959" s="118" t="s">
        <v>693</v>
      </c>
      <c r="E959" s="26" t="e">
        <f>VLOOKUP(C959,#REF!,3,0)</f>
        <v>#REF!</v>
      </c>
      <c r="F959" s="213" t="s">
        <v>3220</v>
      </c>
      <c r="G959" s="91" t="s">
        <v>3221</v>
      </c>
      <c r="H959" s="78" t="s">
        <v>1215</v>
      </c>
      <c r="I959" s="70">
        <v>2</v>
      </c>
      <c r="J959" s="71" t="s">
        <v>1256</v>
      </c>
      <c r="K959" s="72"/>
      <c r="L959" s="87"/>
      <c r="M959" s="74"/>
      <c r="N959" s="44">
        <v>500</v>
      </c>
      <c r="O959" s="25" t="s">
        <v>2820</v>
      </c>
      <c r="P959" s="34"/>
    </row>
    <row r="960" spans="2:16" ht="27.75" customHeight="1">
      <c r="B960" s="25">
        <f t="shared" si="14"/>
        <v>929</v>
      </c>
      <c r="C960" s="42" t="s">
        <v>822</v>
      </c>
      <c r="D960" s="118" t="s">
        <v>822</v>
      </c>
      <c r="E960" s="26" t="e">
        <f>VLOOKUP(C960,#REF!,3,0)</f>
        <v>#REF!</v>
      </c>
      <c r="F960" s="205" t="s">
        <v>3222</v>
      </c>
      <c r="G960" s="25" t="s">
        <v>3223</v>
      </c>
      <c r="H960" s="78" t="s">
        <v>1215</v>
      </c>
      <c r="I960" s="70">
        <v>4</v>
      </c>
      <c r="J960" s="71" t="s">
        <v>1256</v>
      </c>
      <c r="K960" s="72"/>
      <c r="L960" s="87"/>
      <c r="M960" s="74"/>
      <c r="N960" s="44">
        <v>500</v>
      </c>
      <c r="O960" s="25" t="s">
        <v>2820</v>
      </c>
      <c r="P960" s="34"/>
    </row>
    <row r="961" spans="2:16" ht="27.75" customHeight="1">
      <c r="B961" s="25">
        <f t="shared" si="14"/>
        <v>930</v>
      </c>
      <c r="C961" s="42" t="s">
        <v>823</v>
      </c>
      <c r="D961" s="118" t="s">
        <v>822</v>
      </c>
      <c r="E961" s="26" t="e">
        <f>VLOOKUP(C961,#REF!,3,0)</f>
        <v>#REF!</v>
      </c>
      <c r="F961" s="213" t="s">
        <v>3224</v>
      </c>
      <c r="G961" s="91" t="s">
        <v>3225</v>
      </c>
      <c r="H961" s="78" t="s">
        <v>1215</v>
      </c>
      <c r="I961" s="70">
        <v>4</v>
      </c>
      <c r="J961" s="71" t="s">
        <v>1256</v>
      </c>
      <c r="K961" s="72"/>
      <c r="L961" s="87"/>
      <c r="M961" s="74"/>
      <c r="N961" s="44">
        <v>500</v>
      </c>
      <c r="O961" s="25" t="s">
        <v>2820</v>
      </c>
      <c r="P961" s="34"/>
    </row>
    <row r="962" spans="2:16" ht="27.75" customHeight="1">
      <c r="B962" s="25">
        <f t="shared" si="14"/>
        <v>931</v>
      </c>
      <c r="C962" s="42" t="s">
        <v>748</v>
      </c>
      <c r="D962" s="118" t="s">
        <v>748</v>
      </c>
      <c r="E962" s="26" t="e">
        <f>VLOOKUP(C962,#REF!,3,0)</f>
        <v>#REF!</v>
      </c>
      <c r="F962" s="205" t="s">
        <v>3226</v>
      </c>
      <c r="G962" s="25" t="s">
        <v>3227</v>
      </c>
      <c r="H962" s="78" t="s">
        <v>1215</v>
      </c>
      <c r="I962" s="70">
        <v>2</v>
      </c>
      <c r="J962" s="71" t="s">
        <v>1256</v>
      </c>
      <c r="K962" s="72"/>
      <c r="L962" s="87"/>
      <c r="M962" s="74"/>
      <c r="N962" s="44">
        <v>500</v>
      </c>
      <c r="O962" s="25" t="s">
        <v>2820</v>
      </c>
      <c r="P962" s="34"/>
    </row>
    <row r="963" spans="2:16" ht="27.75" customHeight="1">
      <c r="B963" s="25">
        <f t="shared" si="14"/>
        <v>932</v>
      </c>
      <c r="C963" s="42" t="s">
        <v>747</v>
      </c>
      <c r="D963" s="118" t="s">
        <v>748</v>
      </c>
      <c r="E963" s="26" t="e">
        <f>VLOOKUP(C963,#REF!,3,0)</f>
        <v>#REF!</v>
      </c>
      <c r="F963" s="213" t="s">
        <v>3228</v>
      </c>
      <c r="G963" s="91" t="s">
        <v>3229</v>
      </c>
      <c r="H963" s="78" t="s">
        <v>1215</v>
      </c>
      <c r="I963" s="70">
        <v>2</v>
      </c>
      <c r="J963" s="71" t="s">
        <v>1256</v>
      </c>
      <c r="K963" s="72"/>
      <c r="L963" s="87"/>
      <c r="M963" s="74"/>
      <c r="N963" s="44">
        <v>500</v>
      </c>
      <c r="O963" s="25" t="s">
        <v>2820</v>
      </c>
      <c r="P963" s="34"/>
    </row>
    <row r="964" spans="2:16" ht="27.75" customHeight="1">
      <c r="B964" s="25">
        <f t="shared" si="14"/>
        <v>933</v>
      </c>
      <c r="C964" s="42" t="s">
        <v>76</v>
      </c>
      <c r="D964" s="118" t="s">
        <v>76</v>
      </c>
      <c r="E964" s="26" t="e">
        <f>VLOOKUP(C964,#REF!,3,0)</f>
        <v>#REF!</v>
      </c>
      <c r="F964" s="205" t="s">
        <v>3230</v>
      </c>
      <c r="G964" s="25" t="s">
        <v>3231</v>
      </c>
      <c r="H964" s="25"/>
      <c r="I964" s="70">
        <v>2</v>
      </c>
      <c r="J964" s="71" t="s">
        <v>1256</v>
      </c>
      <c r="K964" s="72"/>
      <c r="L964" s="87"/>
      <c r="M964" s="74"/>
      <c r="N964" s="44">
        <v>500</v>
      </c>
      <c r="O964" s="25" t="s">
        <v>2820</v>
      </c>
      <c r="P964" s="34"/>
    </row>
    <row r="965" spans="2:16" ht="27.75" customHeight="1">
      <c r="B965" s="25">
        <f t="shared" si="14"/>
        <v>934</v>
      </c>
      <c r="C965" s="42" t="s">
        <v>77</v>
      </c>
      <c r="D965" s="118" t="s">
        <v>76</v>
      </c>
      <c r="E965" s="26" t="e">
        <f>VLOOKUP(C965,#REF!,3,0)</f>
        <v>#REF!</v>
      </c>
      <c r="F965" s="205" t="s">
        <v>3230</v>
      </c>
      <c r="G965" s="25" t="s">
        <v>3231</v>
      </c>
      <c r="H965" s="25"/>
      <c r="I965" s="70">
        <v>2</v>
      </c>
      <c r="J965" s="71" t="s">
        <v>1256</v>
      </c>
      <c r="K965" s="72"/>
      <c r="L965" s="87"/>
      <c r="M965" s="74"/>
      <c r="N965" s="44"/>
      <c r="O965" s="25"/>
      <c r="P965" s="34"/>
    </row>
    <row r="966" spans="2:16" ht="27.75" customHeight="1">
      <c r="B966" s="25">
        <f t="shared" si="14"/>
        <v>935</v>
      </c>
      <c r="C966" s="42" t="s">
        <v>86</v>
      </c>
      <c r="D966" s="118" t="s">
        <v>86</v>
      </c>
      <c r="E966" s="26" t="e">
        <f>VLOOKUP(C966,#REF!,3,0)</f>
        <v>#REF!</v>
      </c>
      <c r="F966" s="205" t="s">
        <v>3232</v>
      </c>
      <c r="G966" s="25" t="s">
        <v>3233</v>
      </c>
      <c r="H966" s="25"/>
      <c r="I966" s="70">
        <v>2</v>
      </c>
      <c r="J966" s="71" t="s">
        <v>1256</v>
      </c>
      <c r="K966" s="72"/>
      <c r="L966" s="87"/>
      <c r="M966" s="74"/>
      <c r="N966" s="44">
        <v>500</v>
      </c>
      <c r="O966" s="25" t="s">
        <v>2820</v>
      </c>
      <c r="P966" s="34"/>
    </row>
    <row r="967" spans="2:16" ht="27.75" customHeight="1">
      <c r="B967" s="25">
        <f t="shared" ref="B967:B1030" si="15">B966+1</f>
        <v>936</v>
      </c>
      <c r="C967" s="42" t="s">
        <v>87</v>
      </c>
      <c r="D967" s="118" t="s">
        <v>86</v>
      </c>
      <c r="E967" s="26" t="e">
        <f>VLOOKUP(C967,#REF!,3,0)</f>
        <v>#REF!</v>
      </c>
      <c r="F967" s="205" t="s">
        <v>3232</v>
      </c>
      <c r="G967" s="25" t="s">
        <v>3233</v>
      </c>
      <c r="H967" s="25"/>
      <c r="I967" s="70">
        <v>2</v>
      </c>
      <c r="J967" s="71" t="s">
        <v>1256</v>
      </c>
      <c r="K967" s="72"/>
      <c r="L967" s="87"/>
      <c r="M967" s="74"/>
      <c r="N967" s="44"/>
      <c r="O967" s="25"/>
      <c r="P967" s="34"/>
    </row>
    <row r="968" spans="2:16" ht="27.75" customHeight="1">
      <c r="B968" s="25">
        <f t="shared" si="15"/>
        <v>937</v>
      </c>
      <c r="C968" s="42" t="s">
        <v>941</v>
      </c>
      <c r="D968" s="118" t="s">
        <v>941</v>
      </c>
      <c r="E968" s="26" t="e">
        <f>VLOOKUP(C968,#REF!,3,0)</f>
        <v>#REF!</v>
      </c>
      <c r="F968" s="210" t="s">
        <v>3234</v>
      </c>
      <c r="G968" s="78" t="s">
        <v>3235</v>
      </c>
      <c r="H968" s="78" t="s">
        <v>1215</v>
      </c>
      <c r="I968" s="70">
        <v>2</v>
      </c>
      <c r="J968" s="71" t="s">
        <v>1256</v>
      </c>
      <c r="K968" s="72"/>
      <c r="L968" s="87"/>
      <c r="M968" s="74"/>
      <c r="N968" s="44">
        <v>500</v>
      </c>
      <c r="O968" s="25" t="s">
        <v>2820</v>
      </c>
      <c r="P968" s="34"/>
    </row>
    <row r="969" spans="2:16" ht="27.75" customHeight="1">
      <c r="B969" s="25">
        <f t="shared" si="15"/>
        <v>938</v>
      </c>
      <c r="C969" s="42" t="s">
        <v>942</v>
      </c>
      <c r="D969" s="118" t="s">
        <v>941</v>
      </c>
      <c r="E969" s="26" t="e">
        <f>VLOOKUP(C969,#REF!,3,0)</f>
        <v>#REF!</v>
      </c>
      <c r="F969" s="213" t="s">
        <v>3236</v>
      </c>
      <c r="G969" s="91" t="s">
        <v>3237</v>
      </c>
      <c r="H969" s="78" t="s">
        <v>1215</v>
      </c>
      <c r="I969" s="70">
        <v>2</v>
      </c>
      <c r="J969" s="71" t="s">
        <v>1256</v>
      </c>
      <c r="K969" s="72"/>
      <c r="L969" s="87"/>
      <c r="M969" s="74"/>
      <c r="N969" s="44">
        <v>500</v>
      </c>
      <c r="O969" s="25" t="s">
        <v>2820</v>
      </c>
      <c r="P969" s="34"/>
    </row>
    <row r="970" spans="2:16" ht="27.75" customHeight="1">
      <c r="B970" s="25">
        <f t="shared" si="15"/>
        <v>939</v>
      </c>
      <c r="C970" s="42" t="s">
        <v>270</v>
      </c>
      <c r="D970" s="118" t="s">
        <v>270</v>
      </c>
      <c r="E970" s="26" t="e">
        <f>VLOOKUP(C970,#REF!,3,0)</f>
        <v>#REF!</v>
      </c>
      <c r="F970" s="210" t="s">
        <v>3238</v>
      </c>
      <c r="G970" s="78" t="s">
        <v>3239</v>
      </c>
      <c r="H970" s="78"/>
      <c r="I970" s="70">
        <v>2</v>
      </c>
      <c r="J970" s="71" t="s">
        <v>1256</v>
      </c>
      <c r="K970" s="72"/>
      <c r="L970" s="87"/>
      <c r="M970" s="74"/>
      <c r="N970" s="44">
        <v>500</v>
      </c>
      <c r="O970" s="25" t="s">
        <v>2820</v>
      </c>
      <c r="P970" s="34"/>
    </row>
    <row r="971" spans="2:16" ht="27.75" customHeight="1">
      <c r="B971" s="25">
        <f t="shared" si="15"/>
        <v>940</v>
      </c>
      <c r="C971" s="42" t="s">
        <v>271</v>
      </c>
      <c r="D971" s="118" t="s">
        <v>270</v>
      </c>
      <c r="E971" s="26" t="e">
        <f>VLOOKUP(C971,#REF!,3,0)</f>
        <v>#REF!</v>
      </c>
      <c r="F971" s="210" t="s">
        <v>3238</v>
      </c>
      <c r="G971" s="78" t="s">
        <v>3239</v>
      </c>
      <c r="H971" s="78"/>
      <c r="I971" s="70">
        <v>2</v>
      </c>
      <c r="J971" s="71" t="s">
        <v>1256</v>
      </c>
      <c r="K971" s="72"/>
      <c r="L971" s="87"/>
      <c r="M971" s="74"/>
      <c r="N971" s="44"/>
      <c r="O971" s="25"/>
      <c r="P971" s="34"/>
    </row>
    <row r="972" spans="2:16" ht="27.75" customHeight="1">
      <c r="B972" s="25">
        <f t="shared" si="15"/>
        <v>941</v>
      </c>
      <c r="C972" s="42" t="s">
        <v>818</v>
      </c>
      <c r="D972" s="118" t="s">
        <v>818</v>
      </c>
      <c r="E972" s="26" t="e">
        <f>VLOOKUP(C972,#REF!,3,0)</f>
        <v>#REF!</v>
      </c>
      <c r="F972" s="205" t="s">
        <v>3240</v>
      </c>
      <c r="G972" s="25" t="s">
        <v>3241</v>
      </c>
      <c r="H972" s="78" t="s">
        <v>1215</v>
      </c>
      <c r="I972" s="70">
        <v>2</v>
      </c>
      <c r="J972" s="71" t="s">
        <v>1256</v>
      </c>
      <c r="K972" s="72"/>
      <c r="L972" s="87"/>
      <c r="M972" s="74"/>
      <c r="N972" s="44">
        <v>500</v>
      </c>
      <c r="O972" s="25" t="s">
        <v>2820</v>
      </c>
      <c r="P972" s="34"/>
    </row>
    <row r="973" spans="2:16" ht="27.75" customHeight="1">
      <c r="B973" s="25">
        <f t="shared" si="15"/>
        <v>942</v>
      </c>
      <c r="C973" s="42" t="s">
        <v>819</v>
      </c>
      <c r="D973" s="118" t="s">
        <v>818</v>
      </c>
      <c r="E973" s="26" t="e">
        <f>VLOOKUP(C973,#REF!,3,0)</f>
        <v>#REF!</v>
      </c>
      <c r="F973" s="222" t="s">
        <v>3242</v>
      </c>
      <c r="G973" s="121" t="s">
        <v>3243</v>
      </c>
      <c r="H973" s="78" t="s">
        <v>1215</v>
      </c>
      <c r="I973" s="70">
        <v>2</v>
      </c>
      <c r="J973" s="71" t="s">
        <v>1256</v>
      </c>
      <c r="K973" s="72"/>
      <c r="L973" s="87"/>
      <c r="M973" s="74"/>
      <c r="N973" s="44">
        <v>500</v>
      </c>
      <c r="O973" s="25" t="s">
        <v>2820</v>
      </c>
      <c r="P973" s="34"/>
    </row>
    <row r="974" spans="2:16" ht="27.75" customHeight="1">
      <c r="B974" s="25">
        <f t="shared" si="15"/>
        <v>943</v>
      </c>
      <c r="C974" s="42" t="s">
        <v>698</v>
      </c>
      <c r="D974" s="118" t="s">
        <v>698</v>
      </c>
      <c r="E974" s="26" t="e">
        <f>VLOOKUP(C974,#REF!,3,0)</f>
        <v>#REF!</v>
      </c>
      <c r="F974" s="205" t="s">
        <v>3244</v>
      </c>
      <c r="G974" s="25" t="s">
        <v>3245</v>
      </c>
      <c r="H974" s="25"/>
      <c r="I974" s="70">
        <v>2</v>
      </c>
      <c r="J974" s="71" t="s">
        <v>1256</v>
      </c>
      <c r="K974" s="72"/>
      <c r="L974" s="87"/>
      <c r="M974" s="74"/>
      <c r="N974" s="44">
        <v>500</v>
      </c>
      <c r="O974" s="25" t="s">
        <v>2820</v>
      </c>
      <c r="P974" s="34"/>
    </row>
    <row r="975" spans="2:16" ht="27.75" customHeight="1">
      <c r="B975" s="25">
        <f t="shared" si="15"/>
        <v>944</v>
      </c>
      <c r="C975" s="42" t="s">
        <v>699</v>
      </c>
      <c r="D975" s="118" t="s">
        <v>698</v>
      </c>
      <c r="E975" s="26" t="e">
        <f>VLOOKUP(C975,#REF!,3,0)</f>
        <v>#REF!</v>
      </c>
      <c r="F975" s="205" t="s">
        <v>3244</v>
      </c>
      <c r="G975" s="25" t="s">
        <v>3245</v>
      </c>
      <c r="H975" s="25"/>
      <c r="I975" s="70">
        <v>2</v>
      </c>
      <c r="J975" s="71" t="s">
        <v>1256</v>
      </c>
      <c r="K975" s="72"/>
      <c r="L975" s="87"/>
      <c r="M975" s="74"/>
      <c r="N975" s="44"/>
      <c r="O975" s="25"/>
      <c r="P975" s="34"/>
    </row>
    <row r="976" spans="2:16" ht="27.75" customHeight="1">
      <c r="B976" s="25">
        <f t="shared" si="15"/>
        <v>945</v>
      </c>
      <c r="C976" s="42" t="s">
        <v>234</v>
      </c>
      <c r="D976" s="118" t="s">
        <v>234</v>
      </c>
      <c r="E976" s="26" t="e">
        <f>VLOOKUP(C976,#REF!,3,0)</f>
        <v>#REF!</v>
      </c>
      <c r="F976" s="210" t="s">
        <v>3246</v>
      </c>
      <c r="G976" s="78" t="s">
        <v>3247</v>
      </c>
      <c r="H976" s="78"/>
      <c r="I976" s="70">
        <v>4</v>
      </c>
      <c r="J976" s="71" t="s">
        <v>1256</v>
      </c>
      <c r="K976" s="72"/>
      <c r="L976" s="87"/>
      <c r="M976" s="74"/>
      <c r="N976" s="44">
        <v>500</v>
      </c>
      <c r="O976" s="25" t="s">
        <v>2820</v>
      </c>
      <c r="P976" s="34"/>
    </row>
    <row r="977" spans="2:16" ht="27.75" customHeight="1">
      <c r="B977" s="25">
        <f t="shared" si="15"/>
        <v>946</v>
      </c>
      <c r="C977" s="42" t="s">
        <v>1056</v>
      </c>
      <c r="D977" s="118" t="s">
        <v>1056</v>
      </c>
      <c r="E977" s="26" t="e">
        <f>VLOOKUP(C977,#REF!,3,0)</f>
        <v>#REF!</v>
      </c>
      <c r="F977" s="210" t="s">
        <v>3248</v>
      </c>
      <c r="G977" s="78" t="s">
        <v>3249</v>
      </c>
      <c r="H977" s="78"/>
      <c r="I977" s="70">
        <v>2</v>
      </c>
      <c r="J977" s="71" t="s">
        <v>1256</v>
      </c>
      <c r="K977" s="72"/>
      <c r="L977" s="87"/>
      <c r="M977" s="74"/>
      <c r="N977" s="44">
        <v>500</v>
      </c>
      <c r="O977" s="25" t="s">
        <v>2820</v>
      </c>
      <c r="P977" s="34"/>
    </row>
    <row r="978" spans="2:16" ht="27.75" customHeight="1">
      <c r="B978" s="25">
        <f t="shared" si="15"/>
        <v>947</v>
      </c>
      <c r="C978" s="42" t="s">
        <v>820</v>
      </c>
      <c r="D978" s="118" t="s">
        <v>820</v>
      </c>
      <c r="E978" s="26" t="e">
        <f>VLOOKUP(C978,#REF!,3,0)</f>
        <v>#REF!</v>
      </c>
      <c r="F978" s="205" t="s">
        <v>3250</v>
      </c>
      <c r="G978" s="25" t="s">
        <v>3251</v>
      </c>
      <c r="H978" s="78" t="s">
        <v>1215</v>
      </c>
      <c r="I978" s="70">
        <v>4</v>
      </c>
      <c r="J978" s="71" t="s">
        <v>1256</v>
      </c>
      <c r="K978" s="72"/>
      <c r="L978" s="87"/>
      <c r="M978" s="74"/>
      <c r="N978" s="44">
        <v>500</v>
      </c>
      <c r="O978" s="25" t="s">
        <v>2820</v>
      </c>
      <c r="P978" s="34"/>
    </row>
    <row r="979" spans="2:16" ht="27.75" customHeight="1">
      <c r="B979" s="25">
        <f t="shared" si="15"/>
        <v>948</v>
      </c>
      <c r="C979" s="42" t="s">
        <v>821</v>
      </c>
      <c r="D979" s="118" t="s">
        <v>820</v>
      </c>
      <c r="E979" s="26" t="e">
        <f>VLOOKUP(C979,#REF!,3,0)</f>
        <v>#REF!</v>
      </c>
      <c r="F979" s="213" t="s">
        <v>3252</v>
      </c>
      <c r="G979" s="91" t="s">
        <v>3253</v>
      </c>
      <c r="H979" s="78" t="s">
        <v>1215</v>
      </c>
      <c r="I979" s="70">
        <v>4</v>
      </c>
      <c r="J979" s="71" t="s">
        <v>1256</v>
      </c>
      <c r="K979" s="72"/>
      <c r="L979" s="87"/>
      <c r="M979" s="74"/>
      <c r="N979" s="44">
        <v>500</v>
      </c>
      <c r="O979" s="25" t="s">
        <v>2820</v>
      </c>
      <c r="P979" s="34"/>
    </row>
    <row r="980" spans="2:16" ht="27.75" customHeight="1">
      <c r="B980" s="25">
        <f t="shared" si="15"/>
        <v>949</v>
      </c>
      <c r="C980" s="42" t="s">
        <v>700</v>
      </c>
      <c r="D980" s="118" t="s">
        <v>700</v>
      </c>
      <c r="E980" s="26" t="e">
        <f>VLOOKUP(C980,#REF!,3,0)</f>
        <v>#REF!</v>
      </c>
      <c r="F980" s="205" t="s">
        <v>3254</v>
      </c>
      <c r="G980" s="25" t="s">
        <v>3255</v>
      </c>
      <c r="H980" s="78" t="s">
        <v>1215</v>
      </c>
      <c r="I980" s="70">
        <v>2</v>
      </c>
      <c r="J980" s="71" t="s">
        <v>1256</v>
      </c>
      <c r="K980" s="72"/>
      <c r="L980" s="87"/>
      <c r="M980" s="74"/>
      <c r="N980" s="44">
        <v>500</v>
      </c>
      <c r="O980" s="25" t="s">
        <v>2820</v>
      </c>
      <c r="P980" s="34"/>
    </row>
    <row r="981" spans="2:16" ht="27.75" customHeight="1">
      <c r="B981" s="25">
        <f t="shared" si="15"/>
        <v>950</v>
      </c>
      <c r="C981" s="42" t="s">
        <v>702</v>
      </c>
      <c r="D981" s="118" t="s">
        <v>700</v>
      </c>
      <c r="E981" s="26" t="e">
        <f>VLOOKUP(C981,#REF!,3,0)</f>
        <v>#REF!</v>
      </c>
      <c r="F981" s="213" t="s">
        <v>3256</v>
      </c>
      <c r="G981" s="91" t="s">
        <v>3257</v>
      </c>
      <c r="H981" s="78" t="s">
        <v>1215</v>
      </c>
      <c r="I981" s="70">
        <v>2</v>
      </c>
      <c r="J981" s="71" t="s">
        <v>1256</v>
      </c>
      <c r="K981" s="72"/>
      <c r="L981" s="87"/>
      <c r="M981" s="74"/>
      <c r="N981" s="44">
        <v>500</v>
      </c>
      <c r="O981" s="25" t="s">
        <v>2820</v>
      </c>
      <c r="P981" s="34"/>
    </row>
    <row r="982" spans="2:16" ht="27.75" customHeight="1">
      <c r="B982" s="25">
        <f t="shared" si="15"/>
        <v>951</v>
      </c>
      <c r="C982" s="42" t="s">
        <v>695</v>
      </c>
      <c r="D982" s="118" t="s">
        <v>695</v>
      </c>
      <c r="E982" s="26" t="e">
        <f>VLOOKUP(C982,#REF!,3,0)</f>
        <v>#REF!</v>
      </c>
      <c r="F982" s="205" t="s">
        <v>3258</v>
      </c>
      <c r="G982" s="25" t="s">
        <v>3259</v>
      </c>
      <c r="H982" s="78" t="s">
        <v>1215</v>
      </c>
      <c r="I982" s="70">
        <v>2</v>
      </c>
      <c r="J982" s="71" t="s">
        <v>1256</v>
      </c>
      <c r="K982" s="72"/>
      <c r="L982" s="87"/>
      <c r="M982" s="74"/>
      <c r="N982" s="44">
        <v>500</v>
      </c>
      <c r="O982" s="25" t="s">
        <v>2820</v>
      </c>
      <c r="P982" s="34"/>
    </row>
    <row r="983" spans="2:16" ht="27.75" customHeight="1">
      <c r="B983" s="25">
        <f t="shared" si="15"/>
        <v>952</v>
      </c>
      <c r="C983" s="42" t="s">
        <v>697</v>
      </c>
      <c r="D983" s="118" t="s">
        <v>695</v>
      </c>
      <c r="E983" s="26" t="e">
        <f>VLOOKUP(C983,#REF!,3,0)</f>
        <v>#REF!</v>
      </c>
      <c r="F983" s="222" t="s">
        <v>3260</v>
      </c>
      <c r="G983" s="121" t="s">
        <v>3261</v>
      </c>
      <c r="H983" s="78" t="s">
        <v>1215</v>
      </c>
      <c r="I983" s="70">
        <v>2</v>
      </c>
      <c r="J983" s="71" t="s">
        <v>1256</v>
      </c>
      <c r="K983" s="72"/>
      <c r="L983" s="87"/>
      <c r="M983" s="74"/>
      <c r="N983" s="44">
        <v>500</v>
      </c>
      <c r="O983" s="25" t="s">
        <v>2820</v>
      </c>
      <c r="P983" s="34"/>
    </row>
    <row r="984" spans="2:16" ht="27.75" customHeight="1">
      <c r="B984" s="25">
        <f t="shared" si="15"/>
        <v>953</v>
      </c>
      <c r="C984" s="42" t="s">
        <v>79</v>
      </c>
      <c r="D984" s="118" t="s">
        <v>79</v>
      </c>
      <c r="E984" s="26" t="e">
        <f>VLOOKUP(C984,#REF!,3,0)</f>
        <v>#REF!</v>
      </c>
      <c r="F984" s="205" t="s">
        <v>3262</v>
      </c>
      <c r="G984" s="25" t="s">
        <v>3263</v>
      </c>
      <c r="H984" s="25"/>
      <c r="I984" s="70">
        <v>2</v>
      </c>
      <c r="J984" s="71" t="s">
        <v>1256</v>
      </c>
      <c r="K984" s="72"/>
      <c r="L984" s="87"/>
      <c r="M984" s="74"/>
      <c r="N984" s="44">
        <v>500</v>
      </c>
      <c r="O984" s="25" t="s">
        <v>2820</v>
      </c>
      <c r="P984" s="34"/>
    </row>
    <row r="985" spans="2:16" ht="27.75" customHeight="1">
      <c r="B985" s="25">
        <f t="shared" si="15"/>
        <v>954</v>
      </c>
      <c r="C985" s="42" t="s">
        <v>764</v>
      </c>
      <c r="D985" s="118" t="s">
        <v>764</v>
      </c>
      <c r="E985" s="26" t="e">
        <f>VLOOKUP(C985,#REF!,3,0)</f>
        <v>#REF!</v>
      </c>
      <c r="F985" s="210" t="s">
        <v>3264</v>
      </c>
      <c r="G985" s="78" t="s">
        <v>3265</v>
      </c>
      <c r="H985" s="78"/>
      <c r="I985" s="70">
        <v>2</v>
      </c>
      <c r="J985" s="71" t="s">
        <v>1256</v>
      </c>
      <c r="K985" s="72"/>
      <c r="L985" s="87"/>
      <c r="M985" s="74"/>
      <c r="N985" s="44">
        <v>500</v>
      </c>
      <c r="O985" s="25" t="s">
        <v>2820</v>
      </c>
      <c r="P985" s="34"/>
    </row>
    <row r="986" spans="2:16" ht="27.75" customHeight="1">
      <c r="B986" s="25">
        <f t="shared" si="15"/>
        <v>955</v>
      </c>
      <c r="C986" s="42" t="s">
        <v>765</v>
      </c>
      <c r="D986" s="118" t="s">
        <v>765</v>
      </c>
      <c r="E986" s="26" t="e">
        <f>VLOOKUP(C986,#REF!,3,0)</f>
        <v>#REF!</v>
      </c>
      <c r="F986" s="205" t="s">
        <v>3266</v>
      </c>
      <c r="G986" s="63" t="s">
        <v>3267</v>
      </c>
      <c r="H986" s="63"/>
      <c r="I986" s="70">
        <v>1</v>
      </c>
      <c r="J986" s="71" t="s">
        <v>1256</v>
      </c>
      <c r="K986" s="72"/>
      <c r="L986" s="87"/>
      <c r="M986" s="74"/>
      <c r="N986" s="44">
        <v>500</v>
      </c>
      <c r="O986" s="25" t="s">
        <v>2820</v>
      </c>
      <c r="P986" s="34"/>
    </row>
    <row r="987" spans="2:16" ht="27.75" customHeight="1">
      <c r="B987" s="25">
        <f t="shared" si="15"/>
        <v>956</v>
      </c>
      <c r="C987" s="42" t="s">
        <v>766</v>
      </c>
      <c r="D987" s="118" t="s">
        <v>765</v>
      </c>
      <c r="E987" s="26" t="e">
        <f>VLOOKUP(C987,#REF!,3,0)</f>
        <v>#REF!</v>
      </c>
      <c r="F987" s="205" t="s">
        <v>3266</v>
      </c>
      <c r="G987" s="63" t="s">
        <v>3267</v>
      </c>
      <c r="H987" s="63"/>
      <c r="I987" s="70">
        <v>1</v>
      </c>
      <c r="J987" s="71" t="s">
        <v>1256</v>
      </c>
      <c r="K987" s="72"/>
      <c r="L987" s="87"/>
      <c r="M987" s="74"/>
      <c r="N987" s="44"/>
      <c r="O987" s="25"/>
      <c r="P987" s="34"/>
    </row>
    <row r="988" spans="2:16" ht="27.75" customHeight="1">
      <c r="B988" s="25">
        <f t="shared" si="15"/>
        <v>957</v>
      </c>
      <c r="C988" s="42" t="s">
        <v>708</v>
      </c>
      <c r="D988" s="118" t="s">
        <v>708</v>
      </c>
      <c r="E988" s="26" t="e">
        <f>VLOOKUP(C988,#REF!,3,0)</f>
        <v>#REF!</v>
      </c>
      <c r="F988" s="205" t="s">
        <v>3268</v>
      </c>
      <c r="G988" s="25" t="s">
        <v>3269</v>
      </c>
      <c r="H988" s="25"/>
      <c r="I988" s="70">
        <v>1</v>
      </c>
      <c r="J988" s="71" t="s">
        <v>1256</v>
      </c>
      <c r="K988" s="72"/>
      <c r="L988" s="73"/>
      <c r="M988" s="74"/>
      <c r="N988" s="44">
        <v>500</v>
      </c>
      <c r="O988" s="25" t="s">
        <v>2820</v>
      </c>
      <c r="P988" s="34"/>
    </row>
    <row r="989" spans="2:16" ht="27.75" customHeight="1">
      <c r="B989" s="25">
        <f t="shared" si="15"/>
        <v>958</v>
      </c>
      <c r="C989" s="42" t="s">
        <v>709</v>
      </c>
      <c r="D989" s="118" t="s">
        <v>708</v>
      </c>
      <c r="E989" s="26" t="e">
        <f>VLOOKUP(C989,#REF!,3,0)</f>
        <v>#REF!</v>
      </c>
      <c r="F989" s="205" t="s">
        <v>3268</v>
      </c>
      <c r="G989" s="25" t="s">
        <v>3269</v>
      </c>
      <c r="H989" s="25"/>
      <c r="I989" s="70">
        <v>1</v>
      </c>
      <c r="J989" s="71" t="s">
        <v>1256</v>
      </c>
      <c r="K989" s="72"/>
      <c r="L989" s="73"/>
      <c r="M989" s="74"/>
      <c r="N989" s="44"/>
      <c r="O989" s="25"/>
      <c r="P989" s="34"/>
    </row>
    <row r="990" spans="2:16" ht="27.75" customHeight="1">
      <c r="B990" s="25">
        <f t="shared" si="15"/>
        <v>959</v>
      </c>
      <c r="C990" s="42" t="s">
        <v>43</v>
      </c>
      <c r="D990" s="118" t="s">
        <v>43</v>
      </c>
      <c r="E990" s="26" t="e">
        <f>VLOOKUP(C990,#REF!,3,0)</f>
        <v>#REF!</v>
      </c>
      <c r="F990" s="205" t="s">
        <v>3270</v>
      </c>
      <c r="G990" s="25" t="s">
        <v>3271</v>
      </c>
      <c r="H990" s="78" t="s">
        <v>1215</v>
      </c>
      <c r="I990" s="70">
        <v>1</v>
      </c>
      <c r="J990" s="71" t="s">
        <v>1256</v>
      </c>
      <c r="K990" s="72"/>
      <c r="L990" s="87"/>
      <c r="M990" s="74"/>
      <c r="N990" s="44">
        <v>500</v>
      </c>
      <c r="O990" s="25" t="s">
        <v>2820</v>
      </c>
      <c r="P990" s="34"/>
    </row>
    <row r="991" spans="2:16" ht="27.75" customHeight="1">
      <c r="B991" s="25">
        <f t="shared" si="15"/>
        <v>960</v>
      </c>
      <c r="C991" s="42" t="s">
        <v>773</v>
      </c>
      <c r="D991" s="118" t="s">
        <v>43</v>
      </c>
      <c r="E991" s="26" t="e">
        <f>VLOOKUP(C991,#REF!,3,0)</f>
        <v>#REF!</v>
      </c>
      <c r="F991" s="213" t="s">
        <v>3272</v>
      </c>
      <c r="G991" s="91" t="s">
        <v>3273</v>
      </c>
      <c r="H991" s="78" t="s">
        <v>1215</v>
      </c>
      <c r="I991" s="70">
        <v>1</v>
      </c>
      <c r="J991" s="71" t="s">
        <v>1256</v>
      </c>
      <c r="K991" s="72"/>
      <c r="L991" s="87"/>
      <c r="M991" s="74"/>
      <c r="N991" s="44">
        <v>500</v>
      </c>
      <c r="O991" s="25" t="s">
        <v>2820</v>
      </c>
      <c r="P991" s="34"/>
    </row>
    <row r="992" spans="2:16" ht="27.75" customHeight="1">
      <c r="B992" s="25">
        <f t="shared" si="15"/>
        <v>961</v>
      </c>
      <c r="C992" s="42" t="s">
        <v>774</v>
      </c>
      <c r="D992" s="118" t="s">
        <v>774</v>
      </c>
      <c r="E992" s="26" t="e">
        <f>VLOOKUP(C992,#REF!,3,0)</f>
        <v>#REF!</v>
      </c>
      <c r="F992" s="205" t="s">
        <v>3274</v>
      </c>
      <c r="G992" s="25" t="s">
        <v>3275</v>
      </c>
      <c r="H992" s="78" t="s">
        <v>1215</v>
      </c>
      <c r="I992" s="70">
        <v>1</v>
      </c>
      <c r="J992" s="71" t="s">
        <v>1256</v>
      </c>
      <c r="K992" s="72"/>
      <c r="L992" s="87"/>
      <c r="M992" s="74"/>
      <c r="N992" s="44">
        <v>500</v>
      </c>
      <c r="O992" s="25" t="s">
        <v>2820</v>
      </c>
      <c r="P992" s="34"/>
    </row>
    <row r="993" spans="2:16" ht="27.75" customHeight="1">
      <c r="B993" s="25">
        <f t="shared" si="15"/>
        <v>962</v>
      </c>
      <c r="C993" s="42" t="s">
        <v>775</v>
      </c>
      <c r="D993" s="118" t="s">
        <v>774</v>
      </c>
      <c r="E993" s="26" t="e">
        <f>VLOOKUP(C993,#REF!,3,0)</f>
        <v>#REF!</v>
      </c>
      <c r="F993" s="213" t="s">
        <v>3276</v>
      </c>
      <c r="G993" s="91" t="s">
        <v>3277</v>
      </c>
      <c r="H993" s="78" t="s">
        <v>1215</v>
      </c>
      <c r="I993" s="70">
        <v>1</v>
      </c>
      <c r="J993" s="71" t="s">
        <v>1256</v>
      </c>
      <c r="K993" s="72"/>
      <c r="L993" s="87"/>
      <c r="M993" s="74"/>
      <c r="N993" s="44">
        <v>500</v>
      </c>
      <c r="O993" s="25" t="s">
        <v>2820</v>
      </c>
      <c r="P993" s="34"/>
    </row>
    <row r="994" spans="2:16" ht="27.75" customHeight="1">
      <c r="B994" s="25">
        <f t="shared" si="15"/>
        <v>963</v>
      </c>
      <c r="C994" s="42" t="s">
        <v>770</v>
      </c>
      <c r="D994" s="118" t="s">
        <v>770</v>
      </c>
      <c r="E994" s="26" t="e">
        <f>VLOOKUP(C994,#REF!,3,0)</f>
        <v>#REF!</v>
      </c>
      <c r="F994" s="210" t="s">
        <v>3278</v>
      </c>
      <c r="G994" s="78" t="s">
        <v>3279</v>
      </c>
      <c r="H994" s="78"/>
      <c r="I994" s="70">
        <v>2</v>
      </c>
      <c r="J994" s="71" t="s">
        <v>1256</v>
      </c>
      <c r="K994" s="72"/>
      <c r="L994" s="87"/>
      <c r="M994" s="74"/>
      <c r="N994" s="44">
        <v>500</v>
      </c>
      <c r="O994" s="25" t="s">
        <v>2820</v>
      </c>
      <c r="P994" s="34"/>
    </row>
    <row r="995" spans="2:16" ht="27.75" customHeight="1">
      <c r="B995" s="25">
        <f t="shared" si="15"/>
        <v>964</v>
      </c>
      <c r="C995" s="42" t="s">
        <v>771</v>
      </c>
      <c r="D995" s="118" t="s">
        <v>770</v>
      </c>
      <c r="E995" s="26" t="e">
        <f>VLOOKUP(C995,#REF!,3,0)</f>
        <v>#REF!</v>
      </c>
      <c r="F995" s="210" t="s">
        <v>3278</v>
      </c>
      <c r="G995" s="78" t="s">
        <v>3279</v>
      </c>
      <c r="H995" s="78"/>
      <c r="I995" s="70">
        <v>2</v>
      </c>
      <c r="J995" s="71" t="s">
        <v>1256</v>
      </c>
      <c r="K995" s="72"/>
      <c r="L995" s="87"/>
      <c r="M995" s="74"/>
      <c r="N995" s="44"/>
      <c r="O995" s="25"/>
      <c r="P995" s="34"/>
    </row>
    <row r="996" spans="2:16" ht="27.75" customHeight="1">
      <c r="B996" s="25">
        <f t="shared" si="15"/>
        <v>965</v>
      </c>
      <c r="C996" s="42" t="s">
        <v>272</v>
      </c>
      <c r="D996" s="118" t="s">
        <v>272</v>
      </c>
      <c r="E996" s="26" t="e">
        <f>VLOOKUP(C996,#REF!,3,0)</f>
        <v>#REF!</v>
      </c>
      <c r="F996" s="210" t="s">
        <v>3280</v>
      </c>
      <c r="G996" s="78" t="s">
        <v>3281</v>
      </c>
      <c r="H996" s="78"/>
      <c r="I996" s="70">
        <v>2</v>
      </c>
      <c r="J996" s="71" t="s">
        <v>1256</v>
      </c>
      <c r="K996" s="72"/>
      <c r="L996" s="73"/>
      <c r="M996" s="74"/>
      <c r="N996" s="44">
        <v>500</v>
      </c>
      <c r="O996" s="25" t="s">
        <v>2820</v>
      </c>
      <c r="P996" s="34" t="s">
        <v>3282</v>
      </c>
    </row>
    <row r="997" spans="2:16" ht="27.75" customHeight="1">
      <c r="B997" s="25">
        <f t="shared" si="15"/>
        <v>966</v>
      </c>
      <c r="C997" s="42" t="s">
        <v>735</v>
      </c>
      <c r="D997" s="17" t="s">
        <v>735</v>
      </c>
      <c r="E997" s="26" t="e">
        <f>VLOOKUP(C997,#REF!,3,0)</f>
        <v>#REF!</v>
      </c>
      <c r="F997" s="220" t="s">
        <v>3283</v>
      </c>
      <c r="G997" s="122" t="s">
        <v>3284</v>
      </c>
      <c r="H997" s="123"/>
      <c r="I997" s="124">
        <v>2</v>
      </c>
      <c r="J997" s="71" t="s">
        <v>1256</v>
      </c>
      <c r="K997" s="125"/>
      <c r="L997" s="87"/>
      <c r="M997" s="126"/>
      <c r="N997" s="44">
        <v>500</v>
      </c>
      <c r="O997" s="25" t="s">
        <v>2820</v>
      </c>
      <c r="P997" s="34"/>
    </row>
    <row r="998" spans="2:16" ht="27.75" customHeight="1">
      <c r="B998" s="25">
        <f t="shared" si="15"/>
        <v>967</v>
      </c>
      <c r="C998" s="42" t="s">
        <v>992</v>
      </c>
      <c r="D998" s="17" t="s">
        <v>992</v>
      </c>
      <c r="E998" s="26" t="e">
        <f>VLOOKUP(C998,#REF!,3,0)</f>
        <v>#REF!</v>
      </c>
      <c r="F998" s="220" t="s">
        <v>3285</v>
      </c>
      <c r="G998" s="122" t="s">
        <v>3286</v>
      </c>
      <c r="H998" s="78" t="s">
        <v>1215</v>
      </c>
      <c r="I998" s="124">
        <v>2</v>
      </c>
      <c r="J998" s="71" t="s">
        <v>1256</v>
      </c>
      <c r="K998" s="125"/>
      <c r="L998" s="87"/>
      <c r="M998" s="126"/>
      <c r="N998" s="44">
        <v>500</v>
      </c>
      <c r="O998" s="25" t="s">
        <v>1638</v>
      </c>
      <c r="P998" s="34"/>
    </row>
    <row r="999" spans="2:16" ht="27.75" customHeight="1">
      <c r="B999" s="25">
        <f t="shared" si="15"/>
        <v>968</v>
      </c>
      <c r="C999" s="42" t="s">
        <v>993</v>
      </c>
      <c r="D999" s="17" t="s">
        <v>992</v>
      </c>
      <c r="E999" s="26" t="e">
        <f>VLOOKUP(C999,#REF!,3,0)</f>
        <v>#REF!</v>
      </c>
      <c r="F999" s="220" t="s">
        <v>3287</v>
      </c>
      <c r="G999" s="122" t="s">
        <v>3288</v>
      </c>
      <c r="H999" s="78" t="s">
        <v>1215</v>
      </c>
      <c r="I999" s="124">
        <v>2</v>
      </c>
      <c r="J999" s="71" t="s">
        <v>1256</v>
      </c>
      <c r="K999" s="125"/>
      <c r="L999" s="87"/>
      <c r="M999" s="126"/>
      <c r="N999" s="44">
        <v>500</v>
      </c>
      <c r="O999" s="25" t="s">
        <v>1638</v>
      </c>
      <c r="P999" s="34"/>
    </row>
    <row r="1000" spans="2:16" ht="27.75" customHeight="1">
      <c r="B1000" s="25">
        <f t="shared" si="15"/>
        <v>969</v>
      </c>
      <c r="C1000" s="42" t="s">
        <v>937</v>
      </c>
      <c r="D1000" s="17" t="s">
        <v>937</v>
      </c>
      <c r="E1000" s="26" t="e">
        <f>VLOOKUP(C1000,#REF!,3,0)</f>
        <v>#REF!</v>
      </c>
      <c r="F1000" s="220" t="s">
        <v>3289</v>
      </c>
      <c r="G1000" s="122" t="s">
        <v>3290</v>
      </c>
      <c r="H1000" s="78" t="s">
        <v>1215</v>
      </c>
      <c r="I1000" s="124">
        <v>1</v>
      </c>
      <c r="J1000" s="71" t="s">
        <v>1256</v>
      </c>
      <c r="K1000" s="125"/>
      <c r="L1000" s="87"/>
      <c r="M1000" s="126"/>
      <c r="N1000" s="44">
        <v>500</v>
      </c>
      <c r="O1000" s="25" t="s">
        <v>1638</v>
      </c>
      <c r="P1000" s="34"/>
    </row>
    <row r="1001" spans="2:16" ht="27.75" customHeight="1">
      <c r="B1001" s="25">
        <f t="shared" si="15"/>
        <v>970</v>
      </c>
      <c r="C1001" s="42" t="s">
        <v>939</v>
      </c>
      <c r="D1001" s="17" t="s">
        <v>937</v>
      </c>
      <c r="E1001" s="26" t="e">
        <f>VLOOKUP(C1001,#REF!,3,0)</f>
        <v>#REF!</v>
      </c>
      <c r="F1001" s="220" t="s">
        <v>3291</v>
      </c>
      <c r="G1001" s="120" t="s">
        <v>3292</v>
      </c>
      <c r="H1001" s="78" t="s">
        <v>1215</v>
      </c>
      <c r="I1001" s="124">
        <v>1</v>
      </c>
      <c r="J1001" s="71" t="s">
        <v>1256</v>
      </c>
      <c r="K1001" s="125"/>
      <c r="L1001" s="87"/>
      <c r="M1001" s="126"/>
      <c r="N1001" s="44">
        <v>500</v>
      </c>
      <c r="O1001" s="25" t="s">
        <v>1638</v>
      </c>
      <c r="P1001" s="34"/>
    </row>
    <row r="1002" spans="2:16" ht="27.75" customHeight="1">
      <c r="B1002" s="25">
        <f t="shared" si="15"/>
        <v>971</v>
      </c>
      <c r="C1002" s="42" t="s">
        <v>938</v>
      </c>
      <c r="D1002" s="17" t="s">
        <v>937</v>
      </c>
      <c r="E1002" s="26" t="e">
        <f>VLOOKUP(C1002,#REF!,3,0)</f>
        <v>#REF!</v>
      </c>
      <c r="F1002" s="220" t="s">
        <v>3293</v>
      </c>
      <c r="G1002" s="122" t="s">
        <v>3294</v>
      </c>
      <c r="H1002" s="78" t="s">
        <v>1215</v>
      </c>
      <c r="I1002" s="124">
        <v>1</v>
      </c>
      <c r="J1002" s="71" t="s">
        <v>1256</v>
      </c>
      <c r="K1002" s="125"/>
      <c r="L1002" s="87"/>
      <c r="M1002" s="126"/>
      <c r="N1002" s="44">
        <v>500</v>
      </c>
      <c r="O1002" s="25" t="s">
        <v>1638</v>
      </c>
      <c r="P1002" s="34"/>
    </row>
    <row r="1003" spans="2:16" ht="27.75" customHeight="1">
      <c r="B1003" s="25">
        <f t="shared" si="15"/>
        <v>972</v>
      </c>
      <c r="C1003" s="42" t="s">
        <v>940</v>
      </c>
      <c r="D1003" s="17" t="s">
        <v>937</v>
      </c>
      <c r="E1003" s="26" t="e">
        <f>VLOOKUP(C1003,#REF!,3,0)</f>
        <v>#REF!</v>
      </c>
      <c r="F1003" s="220" t="s">
        <v>3295</v>
      </c>
      <c r="G1003" s="122" t="s">
        <v>3296</v>
      </c>
      <c r="H1003" s="78" t="s">
        <v>1215</v>
      </c>
      <c r="I1003" s="127">
        <v>1</v>
      </c>
      <c r="J1003" s="71" t="s">
        <v>1256</v>
      </c>
      <c r="K1003" s="125"/>
      <c r="L1003" s="87"/>
      <c r="M1003" s="126"/>
      <c r="N1003" s="44">
        <v>500</v>
      </c>
      <c r="O1003" s="25" t="s">
        <v>1638</v>
      </c>
      <c r="P1003" s="34"/>
    </row>
    <row r="1004" spans="2:16" ht="29.45" customHeight="1">
      <c r="B1004" s="25">
        <f t="shared" si="15"/>
        <v>973</v>
      </c>
      <c r="C1004" s="42" t="s">
        <v>687</v>
      </c>
      <c r="D1004" s="17" t="s">
        <v>687</v>
      </c>
      <c r="E1004" s="26" t="e">
        <f>VLOOKUP(C1004,#REF!,3,0)</f>
        <v>#REF!</v>
      </c>
      <c r="F1004" s="220" t="s">
        <v>3297</v>
      </c>
      <c r="G1004" s="128" t="s">
        <v>3298</v>
      </c>
      <c r="H1004" s="78" t="s">
        <v>1215</v>
      </c>
      <c r="I1004" s="70">
        <v>2</v>
      </c>
      <c r="J1004" s="71" t="s">
        <v>1256</v>
      </c>
      <c r="K1004" s="125"/>
      <c r="L1004" s="87"/>
      <c r="M1004" s="126"/>
      <c r="N1004" s="44">
        <v>500</v>
      </c>
      <c r="O1004" s="25" t="s">
        <v>2820</v>
      </c>
      <c r="P1004" s="34"/>
    </row>
    <row r="1005" spans="2:16" ht="27.75" customHeight="1">
      <c r="B1005" s="25">
        <f t="shared" si="15"/>
        <v>974</v>
      </c>
      <c r="C1005" s="42" t="s">
        <v>688</v>
      </c>
      <c r="D1005" s="17" t="s">
        <v>687</v>
      </c>
      <c r="E1005" s="26" t="e">
        <f>VLOOKUP(C1005,#REF!,3,0)</f>
        <v>#REF!</v>
      </c>
      <c r="F1005" s="220" t="s">
        <v>3299</v>
      </c>
      <c r="G1005" s="128" t="s">
        <v>3300</v>
      </c>
      <c r="H1005" s="78" t="s">
        <v>1215</v>
      </c>
      <c r="I1005" s="129">
        <v>2</v>
      </c>
      <c r="J1005" s="71" t="s">
        <v>1256</v>
      </c>
      <c r="K1005" s="125"/>
      <c r="L1005" s="87"/>
      <c r="M1005" s="126"/>
      <c r="N1005" s="44">
        <v>500</v>
      </c>
      <c r="O1005" s="25" t="s">
        <v>2820</v>
      </c>
      <c r="P1005" s="34"/>
    </row>
    <row r="1006" spans="2:16" ht="27.75" customHeight="1">
      <c r="B1006" s="25">
        <f t="shared" si="15"/>
        <v>975</v>
      </c>
      <c r="C1006" s="42" t="s">
        <v>997</v>
      </c>
      <c r="D1006" s="17" t="s">
        <v>997</v>
      </c>
      <c r="E1006" s="26" t="e">
        <f>VLOOKUP(C1006,#REF!,3,0)</f>
        <v>#REF!</v>
      </c>
      <c r="F1006" s="220" t="s">
        <v>3301</v>
      </c>
      <c r="G1006" s="122" t="s">
        <v>3302</v>
      </c>
      <c r="H1006" s="78" t="s">
        <v>1215</v>
      </c>
      <c r="I1006" s="129">
        <v>4</v>
      </c>
      <c r="J1006" s="71" t="s">
        <v>1256</v>
      </c>
      <c r="K1006" s="125"/>
      <c r="L1006" s="87"/>
      <c r="M1006" s="126"/>
      <c r="N1006" s="44">
        <v>500</v>
      </c>
      <c r="O1006" s="25" t="s">
        <v>1638</v>
      </c>
      <c r="P1006" s="34"/>
    </row>
    <row r="1007" spans="2:16" ht="27.75" customHeight="1">
      <c r="B1007" s="25">
        <f t="shared" si="15"/>
        <v>976</v>
      </c>
      <c r="C1007" s="42" t="s">
        <v>998</v>
      </c>
      <c r="D1007" s="17" t="s">
        <v>997</v>
      </c>
      <c r="E1007" s="26" t="e">
        <f>VLOOKUP(C1007,#REF!,3,0)</f>
        <v>#REF!</v>
      </c>
      <c r="F1007" s="220" t="s">
        <v>3303</v>
      </c>
      <c r="G1007" s="122" t="s">
        <v>3304</v>
      </c>
      <c r="H1007" s="78" t="s">
        <v>1215</v>
      </c>
      <c r="I1007" s="129">
        <v>4</v>
      </c>
      <c r="J1007" s="71" t="s">
        <v>1256</v>
      </c>
      <c r="K1007" s="125"/>
      <c r="L1007" s="87"/>
      <c r="M1007" s="126"/>
      <c r="N1007" s="44">
        <v>500</v>
      </c>
      <c r="O1007" s="25" t="s">
        <v>1638</v>
      </c>
      <c r="P1007" s="34"/>
    </row>
    <row r="1008" spans="2:16" ht="27.75" customHeight="1">
      <c r="B1008" s="25">
        <f t="shared" si="15"/>
        <v>977</v>
      </c>
      <c r="C1008" s="42" t="s">
        <v>257</v>
      </c>
      <c r="D1008" s="17" t="s">
        <v>257</v>
      </c>
      <c r="E1008" s="26" t="e">
        <f>VLOOKUP(C1008,#REF!,3,0)</f>
        <v>#REF!</v>
      </c>
      <c r="F1008" s="220" t="s">
        <v>3305</v>
      </c>
      <c r="G1008" s="122" t="s">
        <v>3306</v>
      </c>
      <c r="H1008" s="130"/>
      <c r="I1008" s="129">
        <v>2</v>
      </c>
      <c r="J1008" s="71" t="s">
        <v>1256</v>
      </c>
      <c r="K1008" s="125"/>
      <c r="L1008" s="87"/>
      <c r="M1008" s="126"/>
      <c r="N1008" s="44">
        <v>500</v>
      </c>
      <c r="O1008" s="25" t="s">
        <v>1638</v>
      </c>
      <c r="P1008" s="34"/>
    </row>
    <row r="1009" spans="2:16" ht="27.75" customHeight="1">
      <c r="B1009" s="25">
        <f t="shared" si="15"/>
        <v>978</v>
      </c>
      <c r="C1009" s="42" t="s">
        <v>258</v>
      </c>
      <c r="D1009" s="17" t="s">
        <v>257</v>
      </c>
      <c r="E1009" s="26" t="e">
        <f>VLOOKUP(C1009,#REF!,3,0)</f>
        <v>#REF!</v>
      </c>
      <c r="F1009" s="220" t="s">
        <v>3305</v>
      </c>
      <c r="G1009" s="122" t="s">
        <v>3306</v>
      </c>
      <c r="H1009" s="130"/>
      <c r="I1009" s="129">
        <v>2</v>
      </c>
      <c r="J1009" s="71" t="s">
        <v>1256</v>
      </c>
      <c r="K1009" s="125"/>
      <c r="L1009" s="87"/>
      <c r="M1009" s="126"/>
      <c r="N1009" s="44"/>
      <c r="O1009" s="25" t="s">
        <v>1638</v>
      </c>
      <c r="P1009" s="34"/>
    </row>
    <row r="1010" spans="2:16" ht="27.75" customHeight="1">
      <c r="B1010" s="25">
        <f t="shared" si="15"/>
        <v>979</v>
      </c>
      <c r="C1010" s="42" t="s">
        <v>259</v>
      </c>
      <c r="D1010" s="17" t="s">
        <v>257</v>
      </c>
      <c r="E1010" s="26" t="e">
        <f>VLOOKUP(C1010,#REF!,3,0)</f>
        <v>#REF!</v>
      </c>
      <c r="F1010" s="220" t="s">
        <v>3305</v>
      </c>
      <c r="G1010" s="122" t="s">
        <v>3306</v>
      </c>
      <c r="H1010" s="130"/>
      <c r="I1010" s="129">
        <v>2</v>
      </c>
      <c r="J1010" s="71" t="s">
        <v>1256</v>
      </c>
      <c r="K1010" s="125"/>
      <c r="L1010" s="87"/>
      <c r="M1010" s="126"/>
      <c r="N1010" s="44"/>
      <c r="O1010" s="25" t="s">
        <v>1638</v>
      </c>
      <c r="P1010" s="34"/>
    </row>
    <row r="1011" spans="2:16" ht="27.75" customHeight="1">
      <c r="B1011" s="25">
        <f t="shared" si="15"/>
        <v>980</v>
      </c>
      <c r="C1011" s="42" t="s">
        <v>251</v>
      </c>
      <c r="D1011" s="17" t="s">
        <v>251</v>
      </c>
      <c r="E1011" s="26" t="e">
        <f>VLOOKUP(C1011,#REF!,3,0)</f>
        <v>#REF!</v>
      </c>
      <c r="F1011" s="131" t="s">
        <v>3307</v>
      </c>
      <c r="G1011" s="132" t="s">
        <v>3308</v>
      </c>
      <c r="H1011" s="78" t="s">
        <v>1215</v>
      </c>
      <c r="I1011" s="129">
        <v>2</v>
      </c>
      <c r="J1011" s="71" t="s">
        <v>1256</v>
      </c>
      <c r="K1011" s="125"/>
      <c r="L1011" s="87"/>
      <c r="M1011" s="126"/>
      <c r="N1011" s="44">
        <v>500</v>
      </c>
      <c r="O1011" s="25" t="s">
        <v>2820</v>
      </c>
      <c r="P1011" s="34"/>
    </row>
    <row r="1012" spans="2:16" ht="27.75" customHeight="1">
      <c r="B1012" s="25">
        <f t="shared" si="15"/>
        <v>981</v>
      </c>
      <c r="C1012" s="42" t="s">
        <v>248</v>
      </c>
      <c r="D1012" s="17" t="s">
        <v>251</v>
      </c>
      <c r="E1012" s="26" t="e">
        <f>VLOOKUP(C1012,#REF!,3,0)</f>
        <v>#REF!</v>
      </c>
      <c r="F1012" s="131" t="s">
        <v>3309</v>
      </c>
      <c r="G1012" s="132" t="s">
        <v>3310</v>
      </c>
      <c r="H1012" s="78" t="s">
        <v>1215</v>
      </c>
      <c r="I1012" s="129">
        <v>2</v>
      </c>
      <c r="J1012" s="71" t="s">
        <v>1256</v>
      </c>
      <c r="K1012" s="125"/>
      <c r="L1012" s="87"/>
      <c r="M1012" s="126"/>
      <c r="N1012" s="44">
        <v>500</v>
      </c>
      <c r="O1012" s="25" t="s">
        <v>2820</v>
      </c>
      <c r="P1012" s="34"/>
    </row>
    <row r="1013" spans="2:16" ht="27.75" customHeight="1">
      <c r="B1013" s="25">
        <f t="shared" si="15"/>
        <v>982</v>
      </c>
      <c r="C1013" s="42" t="s">
        <v>252</v>
      </c>
      <c r="D1013" s="17" t="s">
        <v>251</v>
      </c>
      <c r="E1013" s="26" t="e">
        <f>VLOOKUP(C1013,#REF!,3,0)</f>
        <v>#REF!</v>
      </c>
      <c r="F1013" s="131" t="s">
        <v>3311</v>
      </c>
      <c r="G1013" s="132" t="s">
        <v>3312</v>
      </c>
      <c r="H1013" s="78" t="s">
        <v>1215</v>
      </c>
      <c r="I1013" s="129">
        <v>2</v>
      </c>
      <c r="J1013" s="71" t="s">
        <v>1256</v>
      </c>
      <c r="K1013" s="125"/>
      <c r="L1013" s="87"/>
      <c r="M1013" s="126"/>
      <c r="N1013" s="44">
        <v>500</v>
      </c>
      <c r="O1013" s="25" t="s">
        <v>2820</v>
      </c>
      <c r="P1013" s="34"/>
    </row>
    <row r="1014" spans="2:16" ht="27.75" customHeight="1">
      <c r="B1014" s="25">
        <f t="shared" si="15"/>
        <v>983</v>
      </c>
      <c r="C1014" s="42" t="s">
        <v>253</v>
      </c>
      <c r="D1014" s="17" t="s">
        <v>251</v>
      </c>
      <c r="E1014" s="26" t="e">
        <f>VLOOKUP(C1014,#REF!,3,0)</f>
        <v>#REF!</v>
      </c>
      <c r="F1014" s="131" t="s">
        <v>3313</v>
      </c>
      <c r="G1014" s="132" t="s">
        <v>3314</v>
      </c>
      <c r="H1014" s="78" t="s">
        <v>1215</v>
      </c>
      <c r="I1014" s="129">
        <v>2</v>
      </c>
      <c r="J1014" s="71" t="s">
        <v>1256</v>
      </c>
      <c r="K1014" s="125"/>
      <c r="L1014" s="87"/>
      <c r="M1014" s="126"/>
      <c r="N1014" s="44">
        <v>500</v>
      </c>
      <c r="O1014" s="25" t="s">
        <v>2820</v>
      </c>
      <c r="P1014" s="34"/>
    </row>
    <row r="1015" spans="2:16" ht="27.75" customHeight="1">
      <c r="B1015" s="25">
        <f t="shared" si="15"/>
        <v>984</v>
      </c>
      <c r="C1015" s="42" t="s">
        <v>767</v>
      </c>
      <c r="D1015" s="17" t="s">
        <v>767</v>
      </c>
      <c r="E1015" s="26" t="e">
        <f>VLOOKUP(C1015,#REF!,3,0)</f>
        <v>#REF!</v>
      </c>
      <c r="F1015" s="220" t="s">
        <v>3315</v>
      </c>
      <c r="G1015" s="122" t="s">
        <v>3316</v>
      </c>
      <c r="H1015" s="130"/>
      <c r="I1015" s="129">
        <v>1</v>
      </c>
      <c r="J1015" s="71" t="s">
        <v>1256</v>
      </c>
      <c r="K1015" s="125"/>
      <c r="L1015" s="87"/>
      <c r="M1015" s="126"/>
      <c r="N1015" s="44">
        <v>500</v>
      </c>
      <c r="O1015" s="25" t="s">
        <v>2820</v>
      </c>
      <c r="P1015" s="34"/>
    </row>
    <row r="1016" spans="2:16" ht="27.75" customHeight="1">
      <c r="B1016" s="25">
        <f t="shared" si="15"/>
        <v>985</v>
      </c>
      <c r="C1016" s="42" t="s">
        <v>756</v>
      </c>
      <c r="D1016" s="17" t="s">
        <v>767</v>
      </c>
      <c r="E1016" s="26" t="e">
        <f>VLOOKUP(C1016,#REF!,3,0)</f>
        <v>#REF!</v>
      </c>
      <c r="F1016" s="220" t="s">
        <v>3315</v>
      </c>
      <c r="G1016" s="122" t="s">
        <v>3316</v>
      </c>
      <c r="H1016" s="130"/>
      <c r="I1016" s="129">
        <v>1</v>
      </c>
      <c r="J1016" s="71" t="s">
        <v>1256</v>
      </c>
      <c r="K1016" s="125"/>
      <c r="L1016" s="87"/>
      <c r="M1016" s="126"/>
      <c r="N1016" s="44"/>
      <c r="O1016" s="25"/>
      <c r="P1016" s="34"/>
    </row>
    <row r="1017" spans="2:16" ht="27.75" customHeight="1">
      <c r="B1017" s="25">
        <f t="shared" si="15"/>
        <v>986</v>
      </c>
      <c r="C1017" s="42" t="s">
        <v>260</v>
      </c>
      <c r="D1017" s="17" t="s">
        <v>260</v>
      </c>
      <c r="E1017" s="26" t="e">
        <f>VLOOKUP(C1017,#REF!,3,0)</f>
        <v>#REF!</v>
      </c>
      <c r="F1017" s="220" t="s">
        <v>3317</v>
      </c>
      <c r="G1017" s="120" t="s">
        <v>3318</v>
      </c>
      <c r="H1017" s="78" t="s">
        <v>1215</v>
      </c>
      <c r="I1017" s="129">
        <v>4</v>
      </c>
      <c r="J1017" s="71" t="s">
        <v>1256</v>
      </c>
      <c r="K1017" s="125"/>
      <c r="L1017" s="87"/>
      <c r="M1017" s="126"/>
      <c r="N1017" s="44">
        <v>500</v>
      </c>
      <c r="O1017" s="25" t="s">
        <v>1638</v>
      </c>
      <c r="P1017" s="34"/>
    </row>
    <row r="1018" spans="2:16" ht="27.75" customHeight="1">
      <c r="B1018" s="25">
        <f t="shared" si="15"/>
        <v>987</v>
      </c>
      <c r="C1018" s="42" t="s">
        <v>261</v>
      </c>
      <c r="D1018" s="17" t="s">
        <v>260</v>
      </c>
      <c r="E1018" s="26" t="e">
        <f>VLOOKUP(C1018,#REF!,3,0)</f>
        <v>#REF!</v>
      </c>
      <c r="F1018" s="220" t="s">
        <v>3319</v>
      </c>
      <c r="G1018" s="120" t="s">
        <v>3320</v>
      </c>
      <c r="H1018" s="78" t="s">
        <v>1215</v>
      </c>
      <c r="I1018" s="129">
        <v>4</v>
      </c>
      <c r="J1018" s="71" t="s">
        <v>1256</v>
      </c>
      <c r="K1018" s="125"/>
      <c r="L1018" s="87"/>
      <c r="M1018" s="126"/>
      <c r="N1018" s="44">
        <v>500</v>
      </c>
      <c r="O1018" s="25" t="s">
        <v>1638</v>
      </c>
      <c r="P1018" s="34"/>
    </row>
    <row r="1019" spans="2:16" ht="27.75" customHeight="1">
      <c r="B1019" s="25">
        <f t="shared" si="15"/>
        <v>988</v>
      </c>
      <c r="C1019" s="42" t="s">
        <v>277</v>
      </c>
      <c r="D1019" s="17" t="s">
        <v>277</v>
      </c>
      <c r="E1019" s="26" t="e">
        <f>VLOOKUP(C1019,#REF!,3,0)</f>
        <v>#REF!</v>
      </c>
      <c r="F1019" s="223" t="s">
        <v>3321</v>
      </c>
      <c r="G1019" s="133" t="s">
        <v>3322</v>
      </c>
      <c r="H1019" s="133"/>
      <c r="I1019" s="129">
        <v>2</v>
      </c>
      <c r="J1019" s="71" t="s">
        <v>1256</v>
      </c>
      <c r="K1019" s="125"/>
      <c r="L1019" s="134"/>
      <c r="M1019" s="126"/>
      <c r="N1019" s="44">
        <v>500</v>
      </c>
      <c r="O1019" s="25" t="s">
        <v>1638</v>
      </c>
      <c r="P1019" s="34"/>
    </row>
    <row r="1020" spans="2:16" ht="27.75" customHeight="1">
      <c r="B1020" s="25">
        <f t="shared" si="15"/>
        <v>989</v>
      </c>
      <c r="C1020" s="42" t="s">
        <v>768</v>
      </c>
      <c r="D1020" s="17" t="s">
        <v>768</v>
      </c>
      <c r="E1020" s="26" t="e">
        <f>VLOOKUP(C1020,#REF!,3,0)</f>
        <v>#REF!</v>
      </c>
      <c r="F1020" s="210" t="s">
        <v>3323</v>
      </c>
      <c r="G1020" s="133" t="s">
        <v>3324</v>
      </c>
      <c r="H1020" s="133"/>
      <c r="I1020" s="129">
        <v>2</v>
      </c>
      <c r="J1020" s="71" t="s">
        <v>1256</v>
      </c>
      <c r="K1020" s="125"/>
      <c r="L1020" s="134"/>
      <c r="M1020" s="126"/>
      <c r="N1020" s="44">
        <v>500</v>
      </c>
      <c r="O1020" s="25" t="s">
        <v>3325</v>
      </c>
      <c r="P1020" s="34"/>
    </row>
    <row r="1021" spans="2:16" ht="27.75" customHeight="1">
      <c r="B1021" s="25">
        <f t="shared" si="15"/>
        <v>990</v>
      </c>
      <c r="C1021" s="42" t="s">
        <v>769</v>
      </c>
      <c r="D1021" s="17" t="s">
        <v>768</v>
      </c>
      <c r="E1021" s="26" t="e">
        <f>VLOOKUP(C1021,#REF!,3,0)</f>
        <v>#REF!</v>
      </c>
      <c r="F1021" s="210" t="s">
        <v>3323</v>
      </c>
      <c r="G1021" s="133" t="s">
        <v>3324</v>
      </c>
      <c r="H1021" s="133"/>
      <c r="I1021" s="129">
        <v>2</v>
      </c>
      <c r="J1021" s="71" t="s">
        <v>1256</v>
      </c>
      <c r="K1021" s="125"/>
      <c r="L1021" s="134"/>
      <c r="M1021" s="126"/>
      <c r="N1021" s="44"/>
      <c r="O1021" s="25"/>
      <c r="P1021" s="34"/>
    </row>
    <row r="1022" spans="2:16" ht="27.75" customHeight="1">
      <c r="B1022" s="25">
        <f t="shared" si="15"/>
        <v>991</v>
      </c>
      <c r="C1022" s="42" t="s">
        <v>842</v>
      </c>
      <c r="D1022" s="17" t="s">
        <v>842</v>
      </c>
      <c r="E1022" s="26" t="e">
        <f>VLOOKUP(C1022,#REF!,3,0)</f>
        <v>#REF!</v>
      </c>
      <c r="F1022" s="210" t="s">
        <v>3326</v>
      </c>
      <c r="G1022" s="133" t="s">
        <v>3110</v>
      </c>
      <c r="H1022" s="133"/>
      <c r="I1022" s="129">
        <v>2</v>
      </c>
      <c r="J1022" s="135" t="s">
        <v>1256</v>
      </c>
      <c r="K1022" s="125"/>
      <c r="L1022" s="134"/>
      <c r="M1022" s="126"/>
      <c r="N1022" s="44">
        <v>500</v>
      </c>
      <c r="O1022" s="25" t="s">
        <v>3327</v>
      </c>
      <c r="P1022" s="34"/>
    </row>
    <row r="1023" spans="2:16" ht="27.75" customHeight="1">
      <c r="B1023" s="25">
        <f t="shared" si="15"/>
        <v>992</v>
      </c>
      <c r="C1023" s="42" t="s">
        <v>843</v>
      </c>
      <c r="D1023" s="17" t="s">
        <v>842</v>
      </c>
      <c r="E1023" s="26" t="e">
        <f>VLOOKUP(C1023,#REF!,3,0)</f>
        <v>#REF!</v>
      </c>
      <c r="F1023" s="210" t="s">
        <v>3326</v>
      </c>
      <c r="G1023" s="133" t="s">
        <v>3110</v>
      </c>
      <c r="H1023" s="133"/>
      <c r="I1023" s="129">
        <v>2</v>
      </c>
      <c r="J1023" s="135" t="s">
        <v>1256</v>
      </c>
      <c r="K1023" s="125"/>
      <c r="L1023" s="134"/>
      <c r="M1023" s="126"/>
      <c r="N1023" s="44"/>
      <c r="O1023" s="25"/>
      <c r="P1023" s="34"/>
    </row>
    <row r="1024" spans="2:16" ht="27.75" customHeight="1">
      <c r="B1024" s="25">
        <f t="shared" si="15"/>
        <v>993</v>
      </c>
      <c r="C1024" s="42" t="s">
        <v>80</v>
      </c>
      <c r="D1024" s="17" t="s">
        <v>80</v>
      </c>
      <c r="E1024" s="26" t="e">
        <f>VLOOKUP(C1024,#REF!,3,0)</f>
        <v>#REF!</v>
      </c>
      <c r="F1024" s="224" t="s">
        <v>3262</v>
      </c>
      <c r="G1024" s="133" t="s">
        <v>3328</v>
      </c>
      <c r="H1024" s="133"/>
      <c r="I1024" s="129">
        <v>2</v>
      </c>
      <c r="J1024" s="135" t="s">
        <v>1256</v>
      </c>
      <c r="K1024" s="125"/>
      <c r="L1024" s="134"/>
      <c r="M1024" s="126"/>
      <c r="N1024" s="44">
        <v>500</v>
      </c>
      <c r="O1024" s="25" t="s">
        <v>1609</v>
      </c>
      <c r="P1024" s="34"/>
    </row>
    <row r="1025" spans="2:16" ht="27.75" customHeight="1">
      <c r="B1025" s="25">
        <f t="shared" si="15"/>
        <v>994</v>
      </c>
      <c r="C1025" s="42" t="s">
        <v>81</v>
      </c>
      <c r="D1025" s="17" t="s">
        <v>80</v>
      </c>
      <c r="E1025" s="26" t="e">
        <f>VLOOKUP(C1025,#REF!,3,0)</f>
        <v>#REF!</v>
      </c>
      <c r="F1025" s="224" t="s">
        <v>3262</v>
      </c>
      <c r="G1025" s="133" t="s">
        <v>3328</v>
      </c>
      <c r="H1025" s="133"/>
      <c r="I1025" s="129">
        <v>2</v>
      </c>
      <c r="J1025" s="135" t="s">
        <v>1256</v>
      </c>
      <c r="K1025" s="125"/>
      <c r="L1025" s="134"/>
      <c r="M1025" s="126"/>
      <c r="N1025" s="44"/>
      <c r="O1025" s="25"/>
      <c r="P1025" s="34"/>
    </row>
    <row r="1026" spans="2:16" ht="27.75" customHeight="1">
      <c r="B1026" s="25">
        <f t="shared" si="15"/>
        <v>995</v>
      </c>
      <c r="C1026" s="42" t="s">
        <v>586</v>
      </c>
      <c r="D1026" s="17" t="s">
        <v>586</v>
      </c>
      <c r="E1026" s="26" t="e">
        <f>VLOOKUP(C1026,#REF!,3,0)</f>
        <v>#REF!</v>
      </c>
      <c r="F1026" s="210" t="s">
        <v>3329</v>
      </c>
      <c r="G1026" s="133" t="s">
        <v>2754</v>
      </c>
      <c r="H1026" s="133"/>
      <c r="I1026" s="129">
        <v>2</v>
      </c>
      <c r="J1026" s="135"/>
      <c r="K1026" s="125"/>
      <c r="L1026" s="134" t="s">
        <v>1582</v>
      </c>
      <c r="M1026" s="126"/>
      <c r="N1026" s="44">
        <v>500</v>
      </c>
      <c r="O1026" s="25" t="s">
        <v>1360</v>
      </c>
      <c r="P1026" s="34"/>
    </row>
    <row r="1027" spans="2:16" ht="27.75" customHeight="1">
      <c r="B1027" s="25">
        <f t="shared" si="15"/>
        <v>996</v>
      </c>
      <c r="C1027" s="42" t="s">
        <v>583</v>
      </c>
      <c r="D1027" s="136" t="s">
        <v>583</v>
      </c>
      <c r="E1027" s="26" t="e">
        <f>VLOOKUP(C1027,#REF!,3,0)</f>
        <v>#REF!</v>
      </c>
      <c r="F1027" s="225" t="s">
        <v>3330</v>
      </c>
      <c r="G1027" s="137" t="s">
        <v>3331</v>
      </c>
      <c r="H1027" s="137"/>
      <c r="I1027" s="138">
        <v>1</v>
      </c>
      <c r="J1027" s="135" t="s">
        <v>1256</v>
      </c>
      <c r="K1027" s="125"/>
      <c r="L1027" s="134"/>
      <c r="M1027" s="126"/>
      <c r="N1027" s="44">
        <v>500</v>
      </c>
      <c r="O1027" s="25" t="s">
        <v>1360</v>
      </c>
      <c r="P1027" s="34"/>
    </row>
    <row r="1028" spans="2:16" ht="27.75" customHeight="1">
      <c r="B1028" s="25">
        <f t="shared" si="15"/>
        <v>997</v>
      </c>
      <c r="C1028" s="42" t="s">
        <v>587</v>
      </c>
      <c r="D1028" s="136" t="s">
        <v>583</v>
      </c>
      <c r="E1028" s="26" t="e">
        <f>VLOOKUP(C1028,#REF!,3,0)</f>
        <v>#REF!</v>
      </c>
      <c r="F1028" s="225" t="s">
        <v>3330</v>
      </c>
      <c r="G1028" s="137" t="s">
        <v>3331</v>
      </c>
      <c r="H1028" s="137"/>
      <c r="I1028" s="138">
        <v>1</v>
      </c>
      <c r="J1028" s="135" t="s">
        <v>1256</v>
      </c>
      <c r="K1028" s="125"/>
      <c r="L1028" s="134"/>
      <c r="M1028" s="126"/>
      <c r="N1028" s="44"/>
      <c r="O1028" s="25"/>
      <c r="P1028" s="34"/>
    </row>
    <row r="1029" spans="2:16" ht="27.75" customHeight="1">
      <c r="B1029" s="25">
        <f t="shared" si="15"/>
        <v>998</v>
      </c>
      <c r="C1029" s="42" t="s">
        <v>590</v>
      </c>
      <c r="D1029" s="136" t="s">
        <v>583</v>
      </c>
      <c r="E1029" s="26" t="e">
        <f>VLOOKUP(C1029,#REF!,3,0)</f>
        <v>#REF!</v>
      </c>
      <c r="F1029" s="225" t="s">
        <v>3330</v>
      </c>
      <c r="G1029" s="137" t="s">
        <v>3331</v>
      </c>
      <c r="H1029" s="137"/>
      <c r="I1029" s="138">
        <v>1</v>
      </c>
      <c r="J1029" s="135" t="s">
        <v>1256</v>
      </c>
      <c r="K1029" s="125"/>
      <c r="L1029" s="134"/>
      <c r="M1029" s="126"/>
      <c r="N1029" s="44"/>
      <c r="O1029" s="25"/>
      <c r="P1029" s="34"/>
    </row>
    <row r="1030" spans="2:16" ht="27.75" customHeight="1">
      <c r="B1030" s="25">
        <f t="shared" si="15"/>
        <v>999</v>
      </c>
      <c r="C1030" s="42" t="s">
        <v>592</v>
      </c>
      <c r="D1030" s="139" t="s">
        <v>592</v>
      </c>
      <c r="E1030" s="26" t="e">
        <f>VLOOKUP(C1030,#REF!,3,0)</f>
        <v>#REF!</v>
      </c>
      <c r="F1030" s="210" t="s">
        <v>3332</v>
      </c>
      <c r="G1030" s="140" t="s">
        <v>3333</v>
      </c>
      <c r="H1030" s="140"/>
      <c r="I1030" s="70">
        <v>1</v>
      </c>
      <c r="J1030" s="135"/>
      <c r="K1030" s="125"/>
      <c r="L1030" s="134" t="s">
        <v>1582</v>
      </c>
      <c r="M1030" s="126"/>
      <c r="N1030" s="44">
        <v>500</v>
      </c>
      <c r="O1030" s="25" t="s">
        <v>1360</v>
      </c>
      <c r="P1030" s="34"/>
    </row>
    <row r="1031" spans="2:16" ht="27.75" customHeight="1">
      <c r="B1031" s="25">
        <f t="shared" ref="B1031:B1094" si="16">B1030+1</f>
        <v>1000</v>
      </c>
      <c r="C1031" s="42" t="s">
        <v>74</v>
      </c>
      <c r="D1031" s="139" t="s">
        <v>74</v>
      </c>
      <c r="E1031" s="26" t="e">
        <f>VLOOKUP(C1031,#REF!,3,0)</f>
        <v>#REF!</v>
      </c>
      <c r="F1031" s="210" t="s">
        <v>3334</v>
      </c>
      <c r="G1031" s="140" t="s">
        <v>3335</v>
      </c>
      <c r="H1031" s="140"/>
      <c r="I1031" s="70">
        <v>2</v>
      </c>
      <c r="J1031" s="135"/>
      <c r="K1031" s="125"/>
      <c r="L1031" s="134" t="s">
        <v>1582</v>
      </c>
      <c r="M1031" s="126"/>
      <c r="N1031" s="44">
        <v>500</v>
      </c>
      <c r="O1031" s="25" t="s">
        <v>2786</v>
      </c>
      <c r="P1031" s="34"/>
    </row>
    <row r="1032" spans="2:16" ht="27.75" customHeight="1">
      <c r="B1032" s="25">
        <f t="shared" si="16"/>
        <v>1001</v>
      </c>
      <c r="C1032" s="42" t="s">
        <v>88</v>
      </c>
      <c r="D1032" s="139" t="s">
        <v>88</v>
      </c>
      <c r="E1032" s="26" t="e">
        <f>VLOOKUP(C1032,#REF!,3,0)</f>
        <v>#REF!</v>
      </c>
      <c r="F1032" s="210" t="s">
        <v>3336</v>
      </c>
      <c r="G1032" s="140" t="s">
        <v>3337</v>
      </c>
      <c r="H1032" s="140"/>
      <c r="I1032" s="70">
        <v>2</v>
      </c>
      <c r="J1032" s="135"/>
      <c r="K1032" s="125"/>
      <c r="L1032" s="134" t="s">
        <v>1582</v>
      </c>
      <c r="M1032" s="126"/>
      <c r="N1032" s="44">
        <v>500</v>
      </c>
      <c r="O1032" s="25" t="s">
        <v>2786</v>
      </c>
      <c r="P1032" s="34"/>
    </row>
    <row r="1033" spans="2:16" ht="27.75" customHeight="1">
      <c r="B1033" s="25">
        <f t="shared" si="16"/>
        <v>1002</v>
      </c>
      <c r="C1033" s="42" t="s">
        <v>612</v>
      </c>
      <c r="D1033" s="139" t="s">
        <v>612</v>
      </c>
      <c r="E1033" s="26" t="e">
        <f>VLOOKUP(C1033,#REF!,3,0)</f>
        <v>#REF!</v>
      </c>
      <c r="F1033" s="210" t="s">
        <v>3338</v>
      </c>
      <c r="G1033" s="140" t="s">
        <v>3339</v>
      </c>
      <c r="H1033" s="140"/>
      <c r="I1033" s="70">
        <v>2</v>
      </c>
      <c r="J1033" s="135"/>
      <c r="K1033" s="125"/>
      <c r="L1033" s="134" t="s">
        <v>1582</v>
      </c>
      <c r="M1033" s="126"/>
      <c r="N1033" s="44">
        <v>500</v>
      </c>
      <c r="O1033" s="25" t="s">
        <v>3058</v>
      </c>
      <c r="P1033" s="34"/>
    </row>
    <row r="1034" spans="2:16" ht="27.75" customHeight="1">
      <c r="B1034" s="25">
        <f t="shared" si="16"/>
        <v>1003</v>
      </c>
      <c r="C1034" s="42" t="s">
        <v>613</v>
      </c>
      <c r="D1034" s="139" t="s">
        <v>613</v>
      </c>
      <c r="E1034" s="26" t="e">
        <f>VLOOKUP(C1034,#REF!,3,0)</f>
        <v>#REF!</v>
      </c>
      <c r="F1034" s="210" t="s">
        <v>3340</v>
      </c>
      <c r="G1034" s="140" t="s">
        <v>3341</v>
      </c>
      <c r="H1034" s="140"/>
      <c r="I1034" s="70">
        <v>2</v>
      </c>
      <c r="J1034" s="135"/>
      <c r="K1034" s="125"/>
      <c r="L1034" s="134" t="s">
        <v>1582</v>
      </c>
      <c r="M1034" s="126"/>
      <c r="N1034" s="44">
        <v>500</v>
      </c>
      <c r="O1034" s="25" t="s">
        <v>3058</v>
      </c>
      <c r="P1034" s="34"/>
    </row>
    <row r="1035" spans="2:16" ht="27.75" customHeight="1">
      <c r="B1035" s="25">
        <f t="shared" si="16"/>
        <v>1004</v>
      </c>
      <c r="C1035" s="42" t="s">
        <v>3342</v>
      </c>
      <c r="D1035" s="139" t="s">
        <v>3342</v>
      </c>
      <c r="E1035" s="26" t="e">
        <f>VLOOKUP(C1035,#REF!,3,0)</f>
        <v>#REF!</v>
      </c>
      <c r="F1035" s="210" t="s">
        <v>3343</v>
      </c>
      <c r="G1035" s="140" t="s">
        <v>3344</v>
      </c>
      <c r="H1035" s="140"/>
      <c r="I1035" s="70">
        <v>2</v>
      </c>
      <c r="J1035" s="135"/>
      <c r="K1035" s="125"/>
      <c r="L1035" s="134" t="s">
        <v>1582</v>
      </c>
      <c r="M1035" s="126"/>
      <c r="N1035" s="44">
        <v>500</v>
      </c>
      <c r="O1035" s="25" t="s">
        <v>3211</v>
      </c>
      <c r="P1035" s="34"/>
    </row>
    <row r="1036" spans="2:16" ht="27.75" customHeight="1">
      <c r="B1036" s="25">
        <f t="shared" si="16"/>
        <v>1005</v>
      </c>
      <c r="C1036" s="42" t="s">
        <v>3345</v>
      </c>
      <c r="D1036" s="139" t="s">
        <v>3345</v>
      </c>
      <c r="E1036" s="26" t="e">
        <f>VLOOKUP(C1036,#REF!,3,0)</f>
        <v>#REF!</v>
      </c>
      <c r="F1036" s="210" t="s">
        <v>3346</v>
      </c>
      <c r="G1036" s="141" t="s">
        <v>3347</v>
      </c>
      <c r="H1036" s="141"/>
      <c r="I1036" s="129">
        <v>1</v>
      </c>
      <c r="J1036" s="135"/>
      <c r="K1036" s="125"/>
      <c r="L1036" s="134" t="s">
        <v>1582</v>
      </c>
      <c r="M1036" s="126"/>
      <c r="N1036" s="44">
        <v>500</v>
      </c>
      <c r="O1036" s="25" t="s">
        <v>2820</v>
      </c>
      <c r="P1036" s="34"/>
    </row>
    <row r="1037" spans="2:16" ht="27.75" customHeight="1">
      <c r="B1037" s="25">
        <f t="shared" si="16"/>
        <v>1006</v>
      </c>
      <c r="C1037" s="42" t="s">
        <v>3348</v>
      </c>
      <c r="D1037" s="139" t="s">
        <v>3348</v>
      </c>
      <c r="E1037" s="26" t="e">
        <f>VLOOKUP(C1037,#REF!,3,0)</f>
        <v>#REF!</v>
      </c>
      <c r="F1037" s="210" t="s">
        <v>3349</v>
      </c>
      <c r="G1037" s="141" t="s">
        <v>3350</v>
      </c>
      <c r="H1037" s="141"/>
      <c r="I1037" s="129">
        <v>1</v>
      </c>
      <c r="J1037" s="135"/>
      <c r="K1037" s="125"/>
      <c r="L1037" s="134" t="s">
        <v>1582</v>
      </c>
      <c r="M1037" s="126"/>
      <c r="N1037" s="44">
        <v>500</v>
      </c>
      <c r="O1037" s="25" t="s">
        <v>2820</v>
      </c>
      <c r="P1037" s="34"/>
    </row>
    <row r="1038" spans="2:16" ht="27.75" customHeight="1">
      <c r="B1038" s="25">
        <f t="shared" si="16"/>
        <v>1007</v>
      </c>
      <c r="C1038" s="42" t="s">
        <v>212</v>
      </c>
      <c r="D1038" s="17" t="s">
        <v>212</v>
      </c>
      <c r="E1038" s="26" t="e">
        <f>VLOOKUP(C1038,#REF!,3,0)</f>
        <v>#REF!</v>
      </c>
      <c r="F1038" s="226" t="s">
        <v>3351</v>
      </c>
      <c r="G1038" s="142" t="s">
        <v>3352</v>
      </c>
      <c r="H1038" s="142"/>
      <c r="I1038" s="143">
        <v>8</v>
      </c>
      <c r="J1038" s="135" t="s">
        <v>1256</v>
      </c>
      <c r="K1038" s="144"/>
      <c r="L1038" s="145"/>
      <c r="M1038" s="146"/>
      <c r="N1038" s="44">
        <v>500</v>
      </c>
      <c r="O1038" s="147" t="s">
        <v>1644</v>
      </c>
      <c r="P1038" s="34"/>
    </row>
    <row r="1039" spans="2:16" ht="27.75" customHeight="1">
      <c r="B1039" s="25">
        <f t="shared" si="16"/>
        <v>1008</v>
      </c>
      <c r="C1039" s="42" t="s">
        <v>862</v>
      </c>
      <c r="D1039" s="17" t="s">
        <v>862</v>
      </c>
      <c r="E1039" s="26" t="e">
        <f>VLOOKUP(C1039,#REF!,3,0)</f>
        <v>#REF!</v>
      </c>
      <c r="F1039" s="212" t="s">
        <v>3353</v>
      </c>
      <c r="G1039" s="148" t="s">
        <v>3354</v>
      </c>
      <c r="H1039" s="148"/>
      <c r="I1039" s="149">
        <v>4</v>
      </c>
      <c r="J1039" s="150" t="s">
        <v>1256</v>
      </c>
      <c r="K1039" s="151"/>
      <c r="L1039" s="152"/>
      <c r="M1039" s="153"/>
      <c r="N1039" s="44">
        <v>500</v>
      </c>
      <c r="O1039" s="147" t="s">
        <v>1644</v>
      </c>
      <c r="P1039" s="34"/>
    </row>
    <row r="1040" spans="2:16" ht="27.75" customHeight="1">
      <c r="B1040" s="25">
        <f t="shared" si="16"/>
        <v>1009</v>
      </c>
      <c r="C1040" s="42" t="s">
        <v>863</v>
      </c>
      <c r="D1040" s="17" t="s">
        <v>863</v>
      </c>
      <c r="E1040" s="26" t="e">
        <f>VLOOKUP(C1040,#REF!,3,0)</f>
        <v>#REF!</v>
      </c>
      <c r="F1040" s="212" t="s">
        <v>3355</v>
      </c>
      <c r="G1040" s="148" t="s">
        <v>3356</v>
      </c>
      <c r="H1040" s="148"/>
      <c r="I1040" s="149">
        <v>2</v>
      </c>
      <c r="J1040" s="150" t="s">
        <v>1256</v>
      </c>
      <c r="K1040" s="151"/>
      <c r="L1040" s="152"/>
      <c r="M1040" s="153"/>
      <c r="N1040" s="44">
        <v>500</v>
      </c>
      <c r="O1040" s="147" t="s">
        <v>1644</v>
      </c>
      <c r="P1040" s="34"/>
    </row>
    <row r="1041" spans="2:16" ht="27.75" customHeight="1">
      <c r="B1041" s="25">
        <f t="shared" si="16"/>
        <v>1010</v>
      </c>
      <c r="C1041" s="42" t="s">
        <v>864</v>
      </c>
      <c r="D1041" s="17" t="s">
        <v>864</v>
      </c>
      <c r="E1041" s="26" t="e">
        <f>VLOOKUP(C1041,#REF!,3,0)</f>
        <v>#REF!</v>
      </c>
      <c r="F1041" s="212" t="s">
        <v>3357</v>
      </c>
      <c r="G1041" s="148" t="s">
        <v>3358</v>
      </c>
      <c r="H1041" s="148"/>
      <c r="I1041" s="149">
        <v>8</v>
      </c>
      <c r="J1041" s="150" t="s">
        <v>1256</v>
      </c>
      <c r="K1041" s="151"/>
      <c r="L1041" s="152"/>
      <c r="M1041" s="153"/>
      <c r="N1041" s="44">
        <v>500</v>
      </c>
      <c r="O1041" s="147" t="s">
        <v>1644</v>
      </c>
      <c r="P1041" s="34"/>
    </row>
    <row r="1042" spans="2:16" ht="27.75" customHeight="1">
      <c r="B1042" s="25">
        <f t="shared" si="16"/>
        <v>1011</v>
      </c>
      <c r="C1042" s="42" t="s">
        <v>865</v>
      </c>
      <c r="D1042" s="17" t="s">
        <v>865</v>
      </c>
      <c r="E1042" s="26" t="e">
        <f>VLOOKUP(C1042,#REF!,3,0)</f>
        <v>#REF!</v>
      </c>
      <c r="F1042" s="212" t="s">
        <v>3359</v>
      </c>
      <c r="G1042" s="148" t="s">
        <v>3360</v>
      </c>
      <c r="H1042" s="148"/>
      <c r="I1042" s="149">
        <v>8</v>
      </c>
      <c r="J1042" s="150" t="s">
        <v>1256</v>
      </c>
      <c r="K1042" s="151"/>
      <c r="L1042" s="152"/>
      <c r="M1042" s="153"/>
      <c r="N1042" s="44">
        <v>500</v>
      </c>
      <c r="O1042" s="147" t="s">
        <v>1644</v>
      </c>
      <c r="P1042" s="34"/>
    </row>
    <row r="1043" spans="2:16" ht="27.75" customHeight="1">
      <c r="B1043" s="25">
        <f t="shared" si="16"/>
        <v>1012</v>
      </c>
      <c r="C1043" s="42" t="s">
        <v>866</v>
      </c>
      <c r="D1043" s="17" t="s">
        <v>866</v>
      </c>
      <c r="E1043" s="26" t="e">
        <f>VLOOKUP(C1043,#REF!,3,0)</f>
        <v>#REF!</v>
      </c>
      <c r="F1043" s="212" t="s">
        <v>3361</v>
      </c>
      <c r="G1043" s="154" t="s">
        <v>3362</v>
      </c>
      <c r="H1043" s="154"/>
      <c r="I1043" s="63">
        <v>8</v>
      </c>
      <c r="J1043" s="150" t="s">
        <v>1256</v>
      </c>
      <c r="K1043" s="151"/>
      <c r="L1043" s="152"/>
      <c r="M1043" s="153"/>
      <c r="N1043" s="44">
        <v>500</v>
      </c>
      <c r="O1043" s="147" t="s">
        <v>1644</v>
      </c>
      <c r="P1043" s="34"/>
    </row>
    <row r="1044" spans="2:16" ht="27.75" customHeight="1">
      <c r="B1044" s="25">
        <f t="shared" si="16"/>
        <v>1013</v>
      </c>
      <c r="C1044" s="42" t="s">
        <v>867</v>
      </c>
      <c r="D1044" s="17" t="s">
        <v>867</v>
      </c>
      <c r="E1044" s="26" t="s">
        <v>1194</v>
      </c>
      <c r="F1044" s="212" t="s">
        <v>3363</v>
      </c>
      <c r="G1044" s="148" t="s">
        <v>3364</v>
      </c>
      <c r="H1044" s="148"/>
      <c r="I1044" s="149">
        <v>8</v>
      </c>
      <c r="J1044" s="150" t="s">
        <v>1256</v>
      </c>
      <c r="K1044" s="151"/>
      <c r="L1044" s="152"/>
      <c r="M1044" s="153"/>
      <c r="N1044" s="44">
        <v>500</v>
      </c>
      <c r="O1044" s="147" t="s">
        <v>1644</v>
      </c>
      <c r="P1044" s="34"/>
    </row>
    <row r="1045" spans="2:16" ht="27.75" customHeight="1">
      <c r="B1045" s="25">
        <f t="shared" si="16"/>
        <v>1014</v>
      </c>
      <c r="C1045" s="42" t="s">
        <v>868</v>
      </c>
      <c r="D1045" s="17" t="s">
        <v>867</v>
      </c>
      <c r="E1045" s="155" t="s">
        <v>1195</v>
      </c>
      <c r="F1045" s="227" t="s">
        <v>3365</v>
      </c>
      <c r="G1045" s="117" t="s">
        <v>3366</v>
      </c>
      <c r="H1045" s="148"/>
      <c r="I1045" s="149"/>
      <c r="J1045" s="150"/>
      <c r="K1045" s="151"/>
      <c r="L1045" s="152"/>
      <c r="M1045" s="153"/>
      <c r="N1045" s="44"/>
      <c r="O1045" s="147"/>
      <c r="P1045" s="34"/>
    </row>
    <row r="1046" spans="2:16" ht="27.75" customHeight="1">
      <c r="B1046" s="25">
        <f t="shared" si="16"/>
        <v>1015</v>
      </c>
      <c r="C1046" s="42" t="s">
        <v>869</v>
      </c>
      <c r="D1046" s="17" t="s">
        <v>869</v>
      </c>
      <c r="E1046" s="26" t="s">
        <v>1196</v>
      </c>
      <c r="F1046" s="212" t="s">
        <v>3367</v>
      </c>
      <c r="G1046" s="148" t="s">
        <v>3368</v>
      </c>
      <c r="H1046" s="148"/>
      <c r="I1046" s="149">
        <v>2</v>
      </c>
      <c r="J1046" s="150" t="s">
        <v>1256</v>
      </c>
      <c r="K1046" s="151"/>
      <c r="L1046" s="152"/>
      <c r="M1046" s="153"/>
      <c r="N1046" s="44">
        <v>500</v>
      </c>
      <c r="O1046" s="147" t="s">
        <v>1644</v>
      </c>
      <c r="P1046" s="34"/>
    </row>
    <row r="1047" spans="2:16" ht="27.75" customHeight="1">
      <c r="B1047" s="25">
        <f t="shared" si="16"/>
        <v>1016</v>
      </c>
      <c r="C1047" s="42" t="s">
        <v>870</v>
      </c>
      <c r="D1047" s="17" t="s">
        <v>870</v>
      </c>
      <c r="E1047" s="26" t="s">
        <v>1196</v>
      </c>
      <c r="F1047" s="212" t="s">
        <v>3367</v>
      </c>
      <c r="G1047" s="148" t="s">
        <v>3368</v>
      </c>
      <c r="H1047" s="148"/>
      <c r="I1047" s="149">
        <v>2</v>
      </c>
      <c r="J1047" s="150" t="s">
        <v>1256</v>
      </c>
      <c r="K1047" s="151"/>
      <c r="L1047" s="152"/>
      <c r="M1047" s="153"/>
      <c r="N1047" s="44">
        <v>500</v>
      </c>
      <c r="O1047" s="147" t="s">
        <v>1644</v>
      </c>
      <c r="P1047" s="34"/>
    </row>
    <row r="1048" spans="2:16" ht="27.75" customHeight="1">
      <c r="B1048" s="25">
        <f t="shared" si="16"/>
        <v>1017</v>
      </c>
      <c r="C1048" s="42" t="s">
        <v>871</v>
      </c>
      <c r="D1048" s="17" t="s">
        <v>871</v>
      </c>
      <c r="E1048" s="26" t="s">
        <v>1196</v>
      </c>
      <c r="F1048" s="212" t="s">
        <v>3367</v>
      </c>
      <c r="G1048" s="148" t="s">
        <v>3368</v>
      </c>
      <c r="H1048" s="148"/>
      <c r="I1048" s="149">
        <v>2</v>
      </c>
      <c r="J1048" s="150" t="s">
        <v>1256</v>
      </c>
      <c r="K1048" s="151"/>
      <c r="L1048" s="152"/>
      <c r="M1048" s="153"/>
      <c r="N1048" s="44">
        <v>500</v>
      </c>
      <c r="O1048" s="147" t="s">
        <v>1644</v>
      </c>
      <c r="P1048" s="34"/>
    </row>
    <row r="1049" spans="2:16" ht="27.75" customHeight="1">
      <c r="B1049" s="25">
        <f t="shared" si="16"/>
        <v>1018</v>
      </c>
      <c r="C1049" s="42" t="s">
        <v>872</v>
      </c>
      <c r="D1049" s="17" t="s">
        <v>872</v>
      </c>
      <c r="E1049" s="26" t="s">
        <v>1197</v>
      </c>
      <c r="F1049" s="212" t="s">
        <v>3369</v>
      </c>
      <c r="G1049" s="148" t="s">
        <v>3370</v>
      </c>
      <c r="H1049" s="148"/>
      <c r="I1049" s="149">
        <v>8</v>
      </c>
      <c r="J1049" s="150"/>
      <c r="K1049" s="151"/>
      <c r="L1049" s="152"/>
      <c r="M1049" s="74" t="s">
        <v>1250</v>
      </c>
      <c r="N1049" s="44">
        <v>500</v>
      </c>
      <c r="O1049" s="147" t="s">
        <v>1644</v>
      </c>
      <c r="P1049" s="34"/>
    </row>
    <row r="1050" spans="2:16" ht="27.75" customHeight="1">
      <c r="B1050" s="25">
        <f t="shared" si="16"/>
        <v>1019</v>
      </c>
      <c r="C1050" s="42" t="s">
        <v>873</v>
      </c>
      <c r="D1050" s="17" t="s">
        <v>873</v>
      </c>
      <c r="E1050" s="26" t="s">
        <v>1197</v>
      </c>
      <c r="F1050" s="212" t="s">
        <v>3371</v>
      </c>
      <c r="G1050" s="148" t="s">
        <v>3370</v>
      </c>
      <c r="H1050" s="148"/>
      <c r="I1050" s="149">
        <v>8</v>
      </c>
      <c r="J1050" s="150" t="s">
        <v>1256</v>
      </c>
      <c r="K1050" s="151"/>
      <c r="L1050" s="152"/>
      <c r="M1050" s="153"/>
      <c r="N1050" s="44">
        <v>500</v>
      </c>
      <c r="O1050" s="147" t="s">
        <v>1644</v>
      </c>
      <c r="P1050" s="34"/>
    </row>
    <row r="1051" spans="2:16" ht="27.75" customHeight="1">
      <c r="B1051" s="25">
        <f t="shared" si="16"/>
        <v>1020</v>
      </c>
      <c r="C1051" s="42" t="s">
        <v>874</v>
      </c>
      <c r="D1051" s="17" t="s">
        <v>874</v>
      </c>
      <c r="E1051" s="26" t="s">
        <v>1198</v>
      </c>
      <c r="F1051" s="212" t="s">
        <v>3372</v>
      </c>
      <c r="G1051" s="148" t="s">
        <v>3370</v>
      </c>
      <c r="H1051" s="148"/>
      <c r="I1051" s="149">
        <v>4</v>
      </c>
      <c r="J1051" s="150" t="s">
        <v>1256</v>
      </c>
      <c r="K1051" s="151"/>
      <c r="L1051" s="152"/>
      <c r="M1051" s="153"/>
      <c r="N1051" s="44">
        <v>500</v>
      </c>
      <c r="O1051" s="147" t="s">
        <v>1644</v>
      </c>
      <c r="P1051" s="34"/>
    </row>
    <row r="1052" spans="2:16" ht="27.75" customHeight="1">
      <c r="B1052" s="25">
        <f t="shared" si="16"/>
        <v>1021</v>
      </c>
      <c r="C1052" s="42" t="s">
        <v>876</v>
      </c>
      <c r="D1052" s="17" t="s">
        <v>876</v>
      </c>
      <c r="E1052" s="26" t="s">
        <v>1200</v>
      </c>
      <c r="F1052" s="212" t="s">
        <v>3373</v>
      </c>
      <c r="G1052" s="148" t="s">
        <v>3374</v>
      </c>
      <c r="H1052" s="148"/>
      <c r="I1052" s="149">
        <v>4</v>
      </c>
      <c r="J1052" s="150" t="s">
        <v>1256</v>
      </c>
      <c r="K1052" s="151"/>
      <c r="L1052" s="152"/>
      <c r="M1052" s="153"/>
      <c r="N1052" s="44">
        <v>500</v>
      </c>
      <c r="O1052" s="147" t="s">
        <v>1644</v>
      </c>
      <c r="P1052" s="34"/>
    </row>
    <row r="1053" spans="2:16" ht="27.75" customHeight="1">
      <c r="B1053" s="25">
        <f t="shared" si="16"/>
        <v>1022</v>
      </c>
      <c r="C1053" s="42" t="s">
        <v>879</v>
      </c>
      <c r="D1053" s="17" t="s">
        <v>879</v>
      </c>
      <c r="E1053" s="26" t="s">
        <v>1203</v>
      </c>
      <c r="F1053" s="212" t="s">
        <v>3375</v>
      </c>
      <c r="G1053" s="148" t="s">
        <v>1366</v>
      </c>
      <c r="H1053" s="148"/>
      <c r="I1053" s="149">
        <v>4</v>
      </c>
      <c r="J1053" s="150"/>
      <c r="K1053" s="151"/>
      <c r="L1053" s="152"/>
      <c r="M1053" s="74" t="s">
        <v>1250</v>
      </c>
      <c r="N1053" s="44">
        <v>500</v>
      </c>
      <c r="O1053" s="147" t="s">
        <v>1644</v>
      </c>
      <c r="P1053" s="34"/>
    </row>
    <row r="1054" spans="2:16" ht="27.75" customHeight="1">
      <c r="B1054" s="25">
        <f t="shared" si="16"/>
        <v>1023</v>
      </c>
      <c r="C1054" s="42" t="s">
        <v>875</v>
      </c>
      <c r="D1054" s="17" t="s">
        <v>875</v>
      </c>
      <c r="E1054" s="26" t="s">
        <v>1199</v>
      </c>
      <c r="F1054" s="212" t="s">
        <v>3376</v>
      </c>
      <c r="G1054" s="148" t="s">
        <v>3377</v>
      </c>
      <c r="H1054" s="148"/>
      <c r="I1054" s="149">
        <v>4</v>
      </c>
      <c r="J1054" s="150" t="s">
        <v>1256</v>
      </c>
      <c r="K1054" s="151"/>
      <c r="L1054" s="152"/>
      <c r="M1054" s="153"/>
      <c r="N1054" s="44">
        <v>500</v>
      </c>
      <c r="O1054" s="147" t="s">
        <v>1644</v>
      </c>
      <c r="P1054" s="34"/>
    </row>
    <row r="1055" spans="2:16" ht="27.75" customHeight="1">
      <c r="B1055" s="25">
        <f t="shared" si="16"/>
        <v>1024</v>
      </c>
      <c r="C1055" s="42" t="s">
        <v>877</v>
      </c>
      <c r="D1055" s="17" t="s">
        <v>877</v>
      </c>
      <c r="E1055" s="26" t="s">
        <v>1201</v>
      </c>
      <c r="F1055" s="228"/>
      <c r="G1055" s="157" t="s">
        <v>3378</v>
      </c>
      <c r="H1055" s="158"/>
      <c r="I1055" s="156">
        <v>2</v>
      </c>
      <c r="J1055" s="159"/>
      <c r="K1055" s="160"/>
      <c r="L1055" s="161"/>
      <c r="M1055" s="74" t="s">
        <v>1250</v>
      </c>
      <c r="N1055" s="44">
        <v>500</v>
      </c>
      <c r="O1055" s="147" t="s">
        <v>1644</v>
      </c>
      <c r="P1055" s="34"/>
    </row>
    <row r="1056" spans="2:16" ht="27.75" customHeight="1">
      <c r="B1056" s="25">
        <f t="shared" si="16"/>
        <v>1025</v>
      </c>
      <c r="C1056" s="42" t="s">
        <v>878</v>
      </c>
      <c r="D1056" s="17" t="s">
        <v>878</v>
      </c>
      <c r="E1056" s="26" t="s">
        <v>1202</v>
      </c>
      <c r="F1056" s="229"/>
      <c r="G1056" s="148"/>
      <c r="H1056" s="148"/>
      <c r="I1056" s="149">
        <v>2</v>
      </c>
      <c r="J1056" s="150" t="s">
        <v>1256</v>
      </c>
      <c r="K1056" s="151"/>
      <c r="L1056" s="152"/>
      <c r="M1056" s="153"/>
      <c r="N1056" s="44">
        <v>500</v>
      </c>
      <c r="O1056" s="147" t="s">
        <v>1644</v>
      </c>
      <c r="P1056" s="34"/>
    </row>
    <row r="1057" spans="2:16" ht="27.75" customHeight="1">
      <c r="B1057" s="25">
        <f t="shared" si="16"/>
        <v>1026</v>
      </c>
      <c r="C1057" s="42" t="s">
        <v>1073</v>
      </c>
      <c r="D1057" s="17" t="s">
        <v>1073</v>
      </c>
      <c r="E1057" s="26" t="s">
        <v>1210</v>
      </c>
      <c r="F1057" s="229" t="s">
        <v>3379</v>
      </c>
      <c r="G1057" s="148" t="s">
        <v>3380</v>
      </c>
      <c r="H1057" s="148"/>
      <c r="I1057" s="149">
        <v>8</v>
      </c>
      <c r="J1057" s="150" t="s">
        <v>1256</v>
      </c>
      <c r="K1057" s="151"/>
      <c r="L1057" s="152"/>
      <c r="M1057" s="153"/>
      <c r="N1057" s="44">
        <v>500</v>
      </c>
      <c r="O1057" s="147" t="s">
        <v>1854</v>
      </c>
      <c r="P1057" s="34"/>
    </row>
    <row r="1058" spans="2:16" ht="27.75" customHeight="1">
      <c r="B1058" s="25">
        <f t="shared" si="16"/>
        <v>1027</v>
      </c>
      <c r="C1058" s="42" t="s">
        <v>1098</v>
      </c>
      <c r="D1058" s="17" t="s">
        <v>1098</v>
      </c>
      <c r="E1058" s="26" t="s">
        <v>1211</v>
      </c>
      <c r="F1058" s="228" t="s">
        <v>3381</v>
      </c>
      <c r="G1058" s="162" t="s">
        <v>3382</v>
      </c>
      <c r="H1058" s="162"/>
      <c r="I1058" s="149">
        <v>8</v>
      </c>
      <c r="J1058" s="150" t="s">
        <v>1256</v>
      </c>
      <c r="K1058" s="151"/>
      <c r="L1058" s="152"/>
      <c r="M1058" s="153"/>
      <c r="N1058" s="44">
        <v>500</v>
      </c>
      <c r="O1058" s="147" t="s">
        <v>1854</v>
      </c>
      <c r="P1058" s="34"/>
    </row>
    <row r="1059" spans="2:16" ht="27.75" customHeight="1">
      <c r="B1059" s="25">
        <f t="shared" si="16"/>
        <v>1028</v>
      </c>
      <c r="C1059" s="42" t="s">
        <v>1099</v>
      </c>
      <c r="D1059" s="17" t="s">
        <v>1099</v>
      </c>
      <c r="E1059" s="26" t="s">
        <v>1212</v>
      </c>
      <c r="F1059" s="229" t="s">
        <v>3383</v>
      </c>
      <c r="G1059" s="148" t="s">
        <v>3384</v>
      </c>
      <c r="H1059" s="148"/>
      <c r="I1059" s="149">
        <v>8</v>
      </c>
      <c r="J1059" s="150"/>
      <c r="K1059" s="151"/>
      <c r="L1059" s="152"/>
      <c r="M1059" s="153"/>
      <c r="N1059" s="44">
        <v>500</v>
      </c>
      <c r="O1059" s="147" t="s">
        <v>1854</v>
      </c>
      <c r="P1059" s="34"/>
    </row>
    <row r="1060" spans="2:16" ht="27.75" customHeight="1">
      <c r="B1060" s="25">
        <f t="shared" si="16"/>
        <v>1029</v>
      </c>
      <c r="C1060" s="42" t="s">
        <v>3385</v>
      </c>
      <c r="D1060" s="17" t="s">
        <v>3385</v>
      </c>
      <c r="E1060" s="26" t="e">
        <f>VLOOKUP(C1060,#REF!,3,0)</f>
        <v>#REF!</v>
      </c>
      <c r="F1060" s="229"/>
      <c r="G1060" s="148"/>
      <c r="H1060" s="148"/>
      <c r="I1060" s="149"/>
      <c r="J1060" s="150" t="s">
        <v>1256</v>
      </c>
      <c r="K1060" s="151"/>
      <c r="L1060" s="152"/>
      <c r="M1060" s="153"/>
      <c r="N1060" s="44">
        <v>500</v>
      </c>
      <c r="O1060" s="147" t="s">
        <v>1854</v>
      </c>
      <c r="P1060" s="34"/>
    </row>
    <row r="1061" spans="2:16" ht="27.75" customHeight="1">
      <c r="B1061" s="25">
        <f t="shared" si="16"/>
        <v>1030</v>
      </c>
      <c r="C1061" s="42" t="s">
        <v>988</v>
      </c>
      <c r="D1061" s="163" t="s">
        <v>988</v>
      </c>
      <c r="E1061" s="26" t="e">
        <f>VLOOKUP(C1061,#REF!,3,0)</f>
        <v>#REF!</v>
      </c>
      <c r="F1061" s="212" t="s">
        <v>3386</v>
      </c>
      <c r="G1061" s="164" t="s">
        <v>3387</v>
      </c>
      <c r="H1061" s="164"/>
      <c r="I1061" s="63">
        <v>1</v>
      </c>
      <c r="J1061" s="150" t="s">
        <v>1256</v>
      </c>
      <c r="K1061" s="151"/>
      <c r="L1061" s="152"/>
      <c r="M1061" s="153"/>
      <c r="N1061" s="44">
        <v>500</v>
      </c>
      <c r="O1061" s="25" t="s">
        <v>1360</v>
      </c>
      <c r="P1061" s="34"/>
    </row>
    <row r="1062" spans="2:16" ht="27.75" customHeight="1">
      <c r="B1062" s="25">
        <f t="shared" si="16"/>
        <v>1031</v>
      </c>
      <c r="C1062" s="42" t="s">
        <v>392</v>
      </c>
      <c r="D1062" s="163" t="s">
        <v>988</v>
      </c>
      <c r="E1062" s="26" t="e">
        <f>VLOOKUP(C1062,#REF!,3,0)</f>
        <v>#REF!</v>
      </c>
      <c r="F1062" s="212" t="s">
        <v>3388</v>
      </c>
      <c r="G1062" s="165" t="s">
        <v>3389</v>
      </c>
      <c r="H1062" s="165"/>
      <c r="I1062" s="149">
        <v>1</v>
      </c>
      <c r="J1062" s="150" t="s">
        <v>1256</v>
      </c>
      <c r="K1062" s="151"/>
      <c r="L1062" s="152"/>
      <c r="M1062" s="153"/>
      <c r="N1062" s="44">
        <v>500</v>
      </c>
      <c r="O1062" s="25" t="s">
        <v>1360</v>
      </c>
      <c r="P1062" s="34"/>
    </row>
    <row r="1063" spans="2:16" ht="27.75" customHeight="1">
      <c r="B1063" s="25">
        <f t="shared" si="16"/>
        <v>1032</v>
      </c>
      <c r="C1063" s="42" t="s">
        <v>398</v>
      </c>
      <c r="D1063" s="163" t="s">
        <v>398</v>
      </c>
      <c r="E1063" s="26" t="e">
        <f>VLOOKUP(C1063,#REF!,3,0)</f>
        <v>#REF!</v>
      </c>
      <c r="F1063" s="212" t="s">
        <v>3390</v>
      </c>
      <c r="G1063" s="165" t="s">
        <v>3391</v>
      </c>
      <c r="H1063" s="165"/>
      <c r="I1063" s="149">
        <v>1</v>
      </c>
      <c r="J1063" s="150" t="s">
        <v>1256</v>
      </c>
      <c r="K1063" s="151"/>
      <c r="L1063" s="152"/>
      <c r="M1063" s="153"/>
      <c r="N1063" s="44">
        <v>500</v>
      </c>
      <c r="O1063" s="25" t="s">
        <v>1360</v>
      </c>
      <c r="P1063" s="34"/>
    </row>
    <row r="1064" spans="2:16" ht="27.75" customHeight="1">
      <c r="B1064" s="25">
        <f t="shared" si="16"/>
        <v>1033</v>
      </c>
      <c r="C1064" s="42" t="s">
        <v>405</v>
      </c>
      <c r="D1064" s="163" t="s">
        <v>398</v>
      </c>
      <c r="E1064" s="26" t="e">
        <f>VLOOKUP(C1064,#REF!,3,0)</f>
        <v>#REF!</v>
      </c>
      <c r="F1064" s="212" t="s">
        <v>3392</v>
      </c>
      <c r="G1064" s="165" t="s">
        <v>3393</v>
      </c>
      <c r="H1064" s="165"/>
      <c r="I1064" s="149">
        <v>1</v>
      </c>
      <c r="J1064" s="150" t="s">
        <v>1256</v>
      </c>
      <c r="K1064" s="151"/>
      <c r="L1064" s="152"/>
      <c r="M1064" s="153"/>
      <c r="N1064" s="44">
        <v>500</v>
      </c>
      <c r="O1064" s="25" t="s">
        <v>1360</v>
      </c>
      <c r="P1064" s="34"/>
    </row>
    <row r="1065" spans="2:16" ht="27.75" customHeight="1">
      <c r="B1065" s="25">
        <f t="shared" si="16"/>
        <v>1034</v>
      </c>
      <c r="C1065" s="42" t="s">
        <v>407</v>
      </c>
      <c r="D1065" s="163" t="s">
        <v>407</v>
      </c>
      <c r="E1065" s="26" t="e">
        <f>VLOOKUP(C1065,#REF!,3,0)</f>
        <v>#REF!</v>
      </c>
      <c r="F1065" s="212" t="s">
        <v>3394</v>
      </c>
      <c r="G1065" s="165" t="s">
        <v>3395</v>
      </c>
      <c r="H1065" s="165"/>
      <c r="I1065" s="149">
        <v>1</v>
      </c>
      <c r="J1065" s="150" t="s">
        <v>1256</v>
      </c>
      <c r="K1065" s="151"/>
      <c r="L1065" s="152"/>
      <c r="M1065" s="153"/>
      <c r="N1065" s="44">
        <v>500</v>
      </c>
      <c r="O1065" s="25" t="s">
        <v>1360</v>
      </c>
      <c r="P1065" s="34"/>
    </row>
    <row r="1066" spans="2:16" ht="27.75" customHeight="1">
      <c r="B1066" s="25">
        <f t="shared" si="16"/>
        <v>1035</v>
      </c>
      <c r="C1066" s="42" t="s">
        <v>428</v>
      </c>
      <c r="D1066" s="163" t="s">
        <v>407</v>
      </c>
      <c r="E1066" s="26" t="e">
        <f>VLOOKUP(C1066,#REF!,3,0)</f>
        <v>#REF!</v>
      </c>
      <c r="F1066" s="212" t="s">
        <v>3396</v>
      </c>
      <c r="G1066" s="165" t="s">
        <v>3397</v>
      </c>
      <c r="H1066" s="165"/>
      <c r="I1066" s="63">
        <v>1</v>
      </c>
      <c r="J1066" s="150" t="s">
        <v>1256</v>
      </c>
      <c r="K1066" s="151"/>
      <c r="L1066" s="152"/>
      <c r="M1066" s="153"/>
      <c r="N1066" s="44">
        <v>500</v>
      </c>
      <c r="O1066" s="25" t="s">
        <v>1360</v>
      </c>
      <c r="P1066" s="34"/>
    </row>
    <row r="1067" spans="2:16" ht="27.75" customHeight="1">
      <c r="B1067" s="25">
        <f t="shared" si="16"/>
        <v>1036</v>
      </c>
      <c r="C1067" s="42" t="s">
        <v>321</v>
      </c>
      <c r="D1067" s="166" t="s">
        <v>321</v>
      </c>
      <c r="E1067" s="26" t="e">
        <f>VLOOKUP(C1067,#REF!,3,0)</f>
        <v>#REF!</v>
      </c>
      <c r="F1067" s="57" t="s">
        <v>3398</v>
      </c>
      <c r="G1067" s="56" t="s">
        <v>3399</v>
      </c>
      <c r="H1067" s="56"/>
      <c r="I1067" s="167">
        <v>1</v>
      </c>
      <c r="J1067" s="150" t="s">
        <v>1256</v>
      </c>
      <c r="K1067" s="168"/>
      <c r="L1067" s="169"/>
      <c r="M1067" s="170"/>
      <c r="N1067" s="44">
        <v>500</v>
      </c>
      <c r="O1067" s="25" t="s">
        <v>3400</v>
      </c>
      <c r="P1067" s="34"/>
    </row>
    <row r="1068" spans="2:16" ht="27.75" customHeight="1">
      <c r="B1068" s="25">
        <f t="shared" si="16"/>
        <v>1037</v>
      </c>
      <c r="C1068" s="42" t="s">
        <v>973</v>
      </c>
      <c r="D1068" s="166" t="s">
        <v>973</v>
      </c>
      <c r="E1068" s="26" t="e">
        <f>VLOOKUP(C1068,#REF!,3,0)</f>
        <v>#REF!</v>
      </c>
      <c r="F1068" s="230" t="s">
        <v>3401</v>
      </c>
      <c r="G1068" s="171" t="s">
        <v>3402</v>
      </c>
      <c r="H1068" s="171"/>
      <c r="I1068" s="167">
        <v>1</v>
      </c>
      <c r="J1068" s="150" t="s">
        <v>1256</v>
      </c>
      <c r="K1068" s="168"/>
      <c r="L1068" s="169"/>
      <c r="M1068" s="170"/>
      <c r="N1068" s="44">
        <v>500</v>
      </c>
      <c r="O1068" s="25" t="s">
        <v>3400</v>
      </c>
      <c r="P1068" s="34"/>
    </row>
    <row r="1069" spans="2:16" ht="27.75" customHeight="1">
      <c r="B1069" s="25">
        <f t="shared" si="16"/>
        <v>1038</v>
      </c>
      <c r="C1069" s="42" t="s">
        <v>847</v>
      </c>
      <c r="D1069" s="166" t="s">
        <v>973</v>
      </c>
      <c r="E1069" s="26" t="e">
        <f>VLOOKUP(C1069,#REF!,3,0)</f>
        <v>#REF!</v>
      </c>
      <c r="F1069" s="230" t="s">
        <v>3403</v>
      </c>
      <c r="G1069" s="171" t="s">
        <v>3404</v>
      </c>
      <c r="H1069" s="171"/>
      <c r="I1069" s="167">
        <v>1</v>
      </c>
      <c r="J1069" s="150" t="s">
        <v>1256</v>
      </c>
      <c r="K1069" s="168"/>
      <c r="L1069" s="169"/>
      <c r="M1069" s="170"/>
      <c r="N1069" s="44">
        <v>500</v>
      </c>
      <c r="O1069" s="25" t="s">
        <v>3400</v>
      </c>
      <c r="P1069" s="34"/>
    </row>
    <row r="1070" spans="2:16" ht="27.75" customHeight="1">
      <c r="B1070" s="25">
        <f t="shared" si="16"/>
        <v>1039</v>
      </c>
      <c r="C1070" s="42" t="s">
        <v>95</v>
      </c>
      <c r="D1070" s="166" t="s">
        <v>95</v>
      </c>
      <c r="E1070" s="26" t="e">
        <f>VLOOKUP(C1070,#REF!,3,0)</f>
        <v>#REF!</v>
      </c>
      <c r="F1070" s="230" t="s">
        <v>3405</v>
      </c>
      <c r="G1070" s="171" t="s">
        <v>3406</v>
      </c>
      <c r="H1070" s="171"/>
      <c r="I1070" s="167">
        <v>1</v>
      </c>
      <c r="J1070" s="150" t="s">
        <v>1256</v>
      </c>
      <c r="K1070" s="168"/>
      <c r="L1070" s="169"/>
      <c r="M1070" s="170"/>
      <c r="N1070" s="44">
        <v>500</v>
      </c>
      <c r="O1070" s="25" t="s">
        <v>3400</v>
      </c>
      <c r="P1070" s="34"/>
    </row>
    <row r="1071" spans="2:16" ht="27.75" customHeight="1">
      <c r="B1071" s="25">
        <f t="shared" si="16"/>
        <v>1040</v>
      </c>
      <c r="C1071" s="42" t="s">
        <v>308</v>
      </c>
      <c r="D1071" s="166" t="s">
        <v>308</v>
      </c>
      <c r="E1071" s="26" t="e">
        <f>VLOOKUP(C1071,#REF!,3,0)</f>
        <v>#REF!</v>
      </c>
      <c r="F1071" s="230" t="s">
        <v>3407</v>
      </c>
      <c r="G1071" s="171" t="s">
        <v>3408</v>
      </c>
      <c r="H1071" s="171"/>
      <c r="I1071" s="167">
        <v>1</v>
      </c>
      <c r="J1071" s="150" t="s">
        <v>1256</v>
      </c>
      <c r="K1071" s="168"/>
      <c r="L1071" s="169"/>
      <c r="M1071" s="170"/>
      <c r="N1071" s="44">
        <v>500</v>
      </c>
      <c r="O1071" s="25" t="s">
        <v>3400</v>
      </c>
      <c r="P1071" s="34"/>
    </row>
    <row r="1072" spans="2:16" ht="27.75" customHeight="1">
      <c r="B1072" s="25">
        <f t="shared" si="16"/>
        <v>1041</v>
      </c>
      <c r="C1072" s="42" t="s">
        <v>844</v>
      </c>
      <c r="D1072" s="166" t="s">
        <v>844</v>
      </c>
      <c r="E1072" s="26" t="e">
        <f>VLOOKUP(C1072,#REF!,3,0)</f>
        <v>#REF!</v>
      </c>
      <c r="F1072" s="230" t="s">
        <v>3409</v>
      </c>
      <c r="G1072" s="171" t="s">
        <v>3410</v>
      </c>
      <c r="H1072" s="171"/>
      <c r="I1072" s="167">
        <v>1</v>
      </c>
      <c r="J1072" s="150" t="s">
        <v>1256</v>
      </c>
      <c r="K1072" s="168"/>
      <c r="L1072" s="169"/>
      <c r="M1072" s="170"/>
      <c r="N1072" s="44">
        <v>500</v>
      </c>
      <c r="O1072" s="25" t="s">
        <v>3400</v>
      </c>
      <c r="P1072" s="34"/>
    </row>
    <row r="1073" spans="2:16" ht="27.75" customHeight="1">
      <c r="B1073" s="25">
        <f t="shared" si="16"/>
        <v>1042</v>
      </c>
      <c r="C1073" s="42" t="s">
        <v>846</v>
      </c>
      <c r="D1073" s="166" t="s">
        <v>844</v>
      </c>
      <c r="E1073" s="26" t="e">
        <f>VLOOKUP(C1073,#REF!,3,0)</f>
        <v>#REF!</v>
      </c>
      <c r="F1073" s="230" t="s">
        <v>3411</v>
      </c>
      <c r="G1073" s="171" t="s">
        <v>3404</v>
      </c>
      <c r="H1073" s="171"/>
      <c r="I1073" s="167">
        <v>1</v>
      </c>
      <c r="J1073" s="150" t="s">
        <v>1256</v>
      </c>
      <c r="K1073" s="168"/>
      <c r="L1073" s="169"/>
      <c r="M1073" s="170"/>
      <c r="N1073" s="44">
        <v>500</v>
      </c>
      <c r="O1073" s="25" t="s">
        <v>3400</v>
      </c>
      <c r="P1073" s="34"/>
    </row>
    <row r="1074" spans="2:16" ht="27.75" customHeight="1">
      <c r="B1074" s="25">
        <f t="shared" si="16"/>
        <v>1043</v>
      </c>
      <c r="C1074" s="42" t="s">
        <v>48</v>
      </c>
      <c r="D1074" s="166" t="s">
        <v>48</v>
      </c>
      <c r="E1074" s="26" t="e">
        <f>VLOOKUP(C1074,#REF!,3,0)</f>
        <v>#REF!</v>
      </c>
      <c r="F1074" s="230" t="s">
        <v>3412</v>
      </c>
      <c r="G1074" s="171" t="s">
        <v>3413</v>
      </c>
      <c r="H1074" s="171"/>
      <c r="I1074" s="167">
        <v>1</v>
      </c>
      <c r="J1074" s="150" t="s">
        <v>1256</v>
      </c>
      <c r="K1074" s="168"/>
      <c r="L1074" s="169"/>
      <c r="M1074" s="170"/>
      <c r="N1074" s="44">
        <v>500</v>
      </c>
      <c r="O1074" s="25" t="s">
        <v>3400</v>
      </c>
      <c r="P1074" s="34"/>
    </row>
    <row r="1075" spans="2:16" ht="27.75" customHeight="1">
      <c r="B1075" s="25">
        <f t="shared" si="16"/>
        <v>1044</v>
      </c>
      <c r="C1075" s="42" t="s">
        <v>56</v>
      </c>
      <c r="D1075" s="166" t="s">
        <v>56</v>
      </c>
      <c r="E1075" s="26" t="e">
        <f>VLOOKUP(C1075,#REF!,3,0)</f>
        <v>#REF!</v>
      </c>
      <c r="F1075" s="230" t="s">
        <v>3414</v>
      </c>
      <c r="G1075" s="171" t="s">
        <v>3415</v>
      </c>
      <c r="H1075" s="171"/>
      <c r="I1075" s="167">
        <v>1</v>
      </c>
      <c r="J1075" s="150"/>
      <c r="K1075" s="168"/>
      <c r="L1075" s="169"/>
      <c r="M1075" s="170" t="s">
        <v>1250</v>
      </c>
      <c r="N1075" s="44">
        <v>500</v>
      </c>
      <c r="O1075" s="25" t="s">
        <v>3400</v>
      </c>
      <c r="P1075" s="34"/>
    </row>
    <row r="1076" spans="2:16" ht="27.75" customHeight="1">
      <c r="B1076" s="25">
        <f t="shared" si="16"/>
        <v>1045</v>
      </c>
      <c r="C1076" s="42" t="s">
        <v>904</v>
      </c>
      <c r="D1076" s="166" t="s">
        <v>904</v>
      </c>
      <c r="E1076" s="26" t="e">
        <f>VLOOKUP(C1076,#REF!,3,0)</f>
        <v>#REF!</v>
      </c>
      <c r="F1076" s="230" t="s">
        <v>3416</v>
      </c>
      <c r="G1076" s="171" t="s">
        <v>3417</v>
      </c>
      <c r="H1076" s="171"/>
      <c r="I1076" s="167">
        <v>1</v>
      </c>
      <c r="J1076" s="150" t="s">
        <v>1256</v>
      </c>
      <c r="K1076" s="168"/>
      <c r="L1076" s="169"/>
      <c r="M1076" s="170"/>
      <c r="N1076" s="44">
        <v>500</v>
      </c>
      <c r="O1076" s="25" t="s">
        <v>3400</v>
      </c>
      <c r="P1076" s="34" t="s">
        <v>3418</v>
      </c>
    </row>
    <row r="1077" spans="2:16" ht="27.75" customHeight="1">
      <c r="B1077" s="25">
        <f t="shared" si="16"/>
        <v>1046</v>
      </c>
      <c r="C1077" s="42" t="s">
        <v>802</v>
      </c>
      <c r="D1077" s="166" t="s">
        <v>802</v>
      </c>
      <c r="E1077" s="26" t="e">
        <f>VLOOKUP(C1077,#REF!,3,0)</f>
        <v>#REF!</v>
      </c>
      <c r="F1077" s="230" t="s">
        <v>3419</v>
      </c>
      <c r="G1077" s="171" t="s">
        <v>3420</v>
      </c>
      <c r="H1077" s="171"/>
      <c r="I1077" s="167">
        <v>1</v>
      </c>
      <c r="J1077" s="172" t="s">
        <v>1256</v>
      </c>
      <c r="K1077" s="168"/>
      <c r="L1077" s="169"/>
      <c r="M1077" s="170"/>
      <c r="N1077" s="44">
        <v>500</v>
      </c>
      <c r="O1077" s="25" t="s">
        <v>3400</v>
      </c>
      <c r="P1077" s="34" t="s">
        <v>3421</v>
      </c>
    </row>
    <row r="1078" spans="2:16" ht="27.75" customHeight="1">
      <c r="B1078" s="25">
        <f t="shared" si="16"/>
        <v>1047</v>
      </c>
      <c r="C1078" s="42" t="s">
        <v>141</v>
      </c>
      <c r="D1078" s="166" t="s">
        <v>141</v>
      </c>
      <c r="E1078" s="26" t="e">
        <f>VLOOKUP(C1078,#REF!,3,0)</f>
        <v>#REF!</v>
      </c>
      <c r="F1078" s="230" t="s">
        <v>3422</v>
      </c>
      <c r="G1078" s="171" t="s">
        <v>3423</v>
      </c>
      <c r="H1078" s="171"/>
      <c r="I1078" s="167">
        <v>1</v>
      </c>
      <c r="J1078" s="172"/>
      <c r="K1078" s="168"/>
      <c r="L1078" s="169"/>
      <c r="M1078" s="170" t="s">
        <v>1250</v>
      </c>
      <c r="N1078" s="44">
        <v>500</v>
      </c>
      <c r="O1078" s="25" t="s">
        <v>3400</v>
      </c>
      <c r="P1078" s="34" t="s">
        <v>3424</v>
      </c>
    </row>
    <row r="1079" spans="2:16" ht="27.75" customHeight="1">
      <c r="B1079" s="25">
        <f t="shared" si="16"/>
        <v>1048</v>
      </c>
      <c r="C1079" s="42" t="s">
        <v>54</v>
      </c>
      <c r="D1079" s="166" t="s">
        <v>54</v>
      </c>
      <c r="E1079" s="26" t="e">
        <f>VLOOKUP(C1079,#REF!,3,0)</f>
        <v>#REF!</v>
      </c>
      <c r="F1079" s="230" t="s">
        <v>3425</v>
      </c>
      <c r="G1079" s="171" t="s">
        <v>3426</v>
      </c>
      <c r="H1079" s="171"/>
      <c r="I1079" s="167">
        <v>1</v>
      </c>
      <c r="J1079" s="172"/>
      <c r="K1079" s="168"/>
      <c r="L1079" s="169"/>
      <c r="M1079" s="170" t="s">
        <v>1250</v>
      </c>
      <c r="N1079" s="44">
        <v>500</v>
      </c>
      <c r="O1079" s="25" t="s">
        <v>3400</v>
      </c>
      <c r="P1079" s="34" t="s">
        <v>3427</v>
      </c>
    </row>
    <row r="1080" spans="2:16" ht="27.75" customHeight="1">
      <c r="B1080" s="25">
        <f t="shared" si="16"/>
        <v>1049</v>
      </c>
      <c r="C1080" s="42" t="s">
        <v>55</v>
      </c>
      <c r="D1080" s="166" t="s">
        <v>54</v>
      </c>
      <c r="E1080" s="26" t="e">
        <f>VLOOKUP(C1080,#REF!,3,0)</f>
        <v>#REF!</v>
      </c>
      <c r="F1080" s="230" t="s">
        <v>3428</v>
      </c>
      <c r="G1080" s="171" t="s">
        <v>3429</v>
      </c>
      <c r="H1080" s="171"/>
      <c r="I1080" s="167">
        <v>1</v>
      </c>
      <c r="J1080" s="172"/>
      <c r="K1080" s="168"/>
      <c r="L1080" s="169"/>
      <c r="M1080" s="170"/>
      <c r="N1080" s="44">
        <v>500</v>
      </c>
      <c r="O1080" s="25" t="s">
        <v>3400</v>
      </c>
      <c r="P1080" s="34" t="s">
        <v>3427</v>
      </c>
    </row>
    <row r="1081" spans="2:16" ht="27.75" customHeight="1">
      <c r="B1081" s="25">
        <f t="shared" si="16"/>
        <v>1050</v>
      </c>
      <c r="C1081" s="42" t="s">
        <v>755</v>
      </c>
      <c r="D1081" s="166" t="s">
        <v>755</v>
      </c>
      <c r="E1081" s="26" t="e">
        <f>VLOOKUP(C1081,#REF!,3,0)</f>
        <v>#REF!</v>
      </c>
      <c r="F1081" s="230" t="s">
        <v>3430</v>
      </c>
      <c r="G1081" s="171" t="s">
        <v>3431</v>
      </c>
      <c r="H1081" s="171"/>
      <c r="I1081" s="167">
        <v>1</v>
      </c>
      <c r="J1081" s="172" t="s">
        <v>1256</v>
      </c>
      <c r="K1081" s="168"/>
      <c r="L1081" s="169"/>
      <c r="M1081" s="170"/>
      <c r="N1081" s="44">
        <v>500</v>
      </c>
      <c r="O1081" s="25" t="s">
        <v>3400</v>
      </c>
      <c r="P1081" s="34" t="s">
        <v>3418</v>
      </c>
    </row>
    <row r="1082" spans="2:16" ht="27.75" customHeight="1">
      <c r="B1082" s="25">
        <f t="shared" si="16"/>
        <v>1051</v>
      </c>
      <c r="C1082" s="42" t="s">
        <v>751</v>
      </c>
      <c r="D1082" s="166" t="s">
        <v>751</v>
      </c>
      <c r="E1082" s="26" t="e">
        <f>VLOOKUP(C1082,#REF!,3,0)</f>
        <v>#REF!</v>
      </c>
      <c r="F1082" s="230" t="s">
        <v>3432</v>
      </c>
      <c r="G1082" s="173" t="s">
        <v>3433</v>
      </c>
      <c r="H1082" s="173"/>
      <c r="I1082" s="63">
        <v>1</v>
      </c>
      <c r="J1082" s="150" t="s">
        <v>1256</v>
      </c>
      <c r="K1082" s="151"/>
      <c r="L1082" s="152"/>
      <c r="M1082" s="153"/>
      <c r="N1082" s="44">
        <v>500</v>
      </c>
      <c r="O1082" s="25" t="s">
        <v>3400</v>
      </c>
      <c r="P1082" s="34"/>
    </row>
    <row r="1083" spans="2:16" ht="27.75" customHeight="1">
      <c r="B1083" s="25">
        <f t="shared" si="16"/>
        <v>1052</v>
      </c>
      <c r="C1083" s="42" t="s">
        <v>752</v>
      </c>
      <c r="D1083" s="166" t="s">
        <v>752</v>
      </c>
      <c r="E1083" s="26" t="e">
        <f>VLOOKUP(C1083,#REF!,3,0)</f>
        <v>#REF!</v>
      </c>
      <c r="F1083" s="230" t="s">
        <v>3434</v>
      </c>
      <c r="G1083" s="173" t="s">
        <v>3435</v>
      </c>
      <c r="H1083" s="173"/>
      <c r="I1083" s="63">
        <v>1</v>
      </c>
      <c r="J1083" s="150" t="s">
        <v>1256</v>
      </c>
      <c r="K1083" s="151"/>
      <c r="L1083" s="152"/>
      <c r="M1083" s="153"/>
      <c r="N1083" s="44">
        <v>500</v>
      </c>
      <c r="O1083" s="25" t="s">
        <v>3400</v>
      </c>
      <c r="P1083" s="34"/>
    </row>
    <row r="1084" spans="2:16" ht="27.75" customHeight="1">
      <c r="B1084" s="25">
        <f t="shared" si="16"/>
        <v>1053</v>
      </c>
      <c r="C1084" s="42" t="s">
        <v>1090</v>
      </c>
      <c r="D1084" s="166" t="s">
        <v>1090</v>
      </c>
      <c r="E1084" s="26" t="e">
        <f>VLOOKUP(C1084,#REF!,3,0)</f>
        <v>#REF!</v>
      </c>
      <c r="F1084" s="230" t="s">
        <v>3436</v>
      </c>
      <c r="G1084" s="173" t="s">
        <v>3437</v>
      </c>
      <c r="H1084" s="173"/>
      <c r="I1084" s="63">
        <v>1</v>
      </c>
      <c r="J1084" s="150" t="s">
        <v>1256</v>
      </c>
      <c r="K1084" s="151"/>
      <c r="L1084" s="152"/>
      <c r="M1084" s="153"/>
      <c r="N1084" s="44">
        <v>500</v>
      </c>
      <c r="O1084" s="25" t="s">
        <v>3400</v>
      </c>
      <c r="P1084" s="34"/>
    </row>
    <row r="1085" spans="2:16" ht="27.75" customHeight="1">
      <c r="B1085" s="25">
        <f t="shared" si="16"/>
        <v>1054</v>
      </c>
      <c r="C1085" s="42" t="s">
        <v>901</v>
      </c>
      <c r="D1085" s="174" t="s">
        <v>901</v>
      </c>
      <c r="E1085" s="26" t="e">
        <f>VLOOKUP(C1085,#REF!,3,0)</f>
        <v>#REF!</v>
      </c>
      <c r="F1085" s="231" t="s">
        <v>3438</v>
      </c>
      <c r="G1085" s="175" t="s">
        <v>3439</v>
      </c>
      <c r="H1085" s="175"/>
      <c r="I1085" s="63">
        <v>1</v>
      </c>
      <c r="J1085" s="150" t="s">
        <v>1256</v>
      </c>
      <c r="K1085" s="151"/>
      <c r="L1085" s="152"/>
      <c r="M1085" s="153"/>
      <c r="N1085" s="44">
        <v>500</v>
      </c>
      <c r="O1085" s="25" t="s">
        <v>3400</v>
      </c>
      <c r="P1085" s="34" t="s">
        <v>3440</v>
      </c>
    </row>
    <row r="1086" spans="2:16" ht="27.75" customHeight="1">
      <c r="B1086" s="25">
        <f t="shared" si="16"/>
        <v>1055</v>
      </c>
      <c r="C1086" s="42" t="s">
        <v>845</v>
      </c>
      <c r="D1086" s="174" t="s">
        <v>901</v>
      </c>
      <c r="E1086" s="26" t="e">
        <f>VLOOKUP(C1086,#REF!,3,0)</f>
        <v>#REF!</v>
      </c>
      <c r="F1086" s="205" t="s">
        <v>3441</v>
      </c>
      <c r="G1086" s="175" t="s">
        <v>3442</v>
      </c>
      <c r="H1086" s="175"/>
      <c r="I1086" s="63">
        <v>1</v>
      </c>
      <c r="J1086" s="150" t="s">
        <v>1256</v>
      </c>
      <c r="K1086" s="151"/>
      <c r="L1086" s="152"/>
      <c r="M1086" s="153"/>
      <c r="N1086" s="44">
        <v>500</v>
      </c>
      <c r="O1086" s="25" t="s">
        <v>3400</v>
      </c>
      <c r="P1086" s="34" t="s">
        <v>3440</v>
      </c>
    </row>
    <row r="1087" spans="2:16" ht="27.75" customHeight="1">
      <c r="B1087" s="25">
        <f t="shared" si="16"/>
        <v>1056</v>
      </c>
      <c r="C1087" s="42" t="s">
        <v>320</v>
      </c>
      <c r="D1087" s="174" t="s">
        <v>901</v>
      </c>
      <c r="E1087" s="26" t="e">
        <f>VLOOKUP(C1087,#REF!,3,0)</f>
        <v>#REF!</v>
      </c>
      <c r="F1087" s="205" t="s">
        <v>3443</v>
      </c>
      <c r="G1087" s="175" t="s">
        <v>3444</v>
      </c>
      <c r="H1087" s="175"/>
      <c r="I1087" s="63">
        <v>1</v>
      </c>
      <c r="J1087" s="150" t="s">
        <v>1256</v>
      </c>
      <c r="K1087" s="151"/>
      <c r="L1087" s="152"/>
      <c r="M1087" s="153"/>
      <c r="N1087" s="44">
        <v>500</v>
      </c>
      <c r="O1087" s="25" t="s">
        <v>3400</v>
      </c>
      <c r="P1087" s="34" t="s">
        <v>3440</v>
      </c>
    </row>
    <row r="1088" spans="2:16" ht="27.75" customHeight="1">
      <c r="B1088" s="25">
        <f t="shared" si="16"/>
        <v>1057</v>
      </c>
      <c r="C1088" s="42" t="s">
        <v>1088</v>
      </c>
      <c r="D1088" s="174" t="s">
        <v>1088</v>
      </c>
      <c r="E1088" s="26" t="e">
        <f>VLOOKUP(C1088,#REF!,3,0)</f>
        <v>#REF!</v>
      </c>
      <c r="F1088" s="205" t="s">
        <v>3445</v>
      </c>
      <c r="G1088" s="175" t="s">
        <v>3446</v>
      </c>
      <c r="H1088" s="175"/>
      <c r="I1088" s="63">
        <v>1</v>
      </c>
      <c r="J1088" s="150" t="s">
        <v>1256</v>
      </c>
      <c r="K1088" s="151"/>
      <c r="L1088" s="152"/>
      <c r="M1088" s="153"/>
      <c r="N1088" s="44">
        <v>500</v>
      </c>
      <c r="O1088" s="25" t="s">
        <v>3400</v>
      </c>
      <c r="P1088" s="34"/>
    </row>
    <row r="1089" spans="2:16" ht="27.75" customHeight="1">
      <c r="B1089" s="25">
        <f t="shared" si="16"/>
        <v>1058</v>
      </c>
      <c r="C1089" s="42" t="s">
        <v>310</v>
      </c>
      <c r="D1089" s="174" t="s">
        <v>310</v>
      </c>
      <c r="E1089" s="26" t="e">
        <f>VLOOKUP(C1089,#REF!,3,0)</f>
        <v>#REF!</v>
      </c>
      <c r="F1089" s="205" t="s">
        <v>3447</v>
      </c>
      <c r="G1089" s="175" t="s">
        <v>3448</v>
      </c>
      <c r="H1089" s="175"/>
      <c r="I1089" s="63">
        <v>1</v>
      </c>
      <c r="J1089" s="150" t="s">
        <v>1256</v>
      </c>
      <c r="K1089" s="151"/>
      <c r="L1089" s="152"/>
      <c r="M1089" s="153"/>
      <c r="N1089" s="44">
        <v>500</v>
      </c>
      <c r="O1089" s="25" t="s">
        <v>3400</v>
      </c>
      <c r="P1089" s="34"/>
    </row>
    <row r="1090" spans="2:16" ht="27.75" customHeight="1">
      <c r="B1090" s="25">
        <f t="shared" si="16"/>
        <v>1059</v>
      </c>
      <c r="C1090" s="42" t="s">
        <v>50</v>
      </c>
      <c r="D1090" s="174" t="s">
        <v>50</v>
      </c>
      <c r="E1090" s="26" t="e">
        <f>VLOOKUP(C1090,#REF!,3,0)</f>
        <v>#REF!</v>
      </c>
      <c r="F1090" s="205" t="s">
        <v>3449</v>
      </c>
      <c r="G1090" s="175" t="s">
        <v>3450</v>
      </c>
      <c r="H1090" s="175"/>
      <c r="I1090" s="63">
        <v>1</v>
      </c>
      <c r="J1090" s="150" t="s">
        <v>1256</v>
      </c>
      <c r="K1090" s="151"/>
      <c r="L1090" s="152"/>
      <c r="M1090" s="153"/>
      <c r="N1090" s="44">
        <v>500</v>
      </c>
      <c r="O1090" s="25" t="s">
        <v>3400</v>
      </c>
      <c r="P1090" s="34"/>
    </row>
    <row r="1091" spans="2:16" ht="27.75" customHeight="1">
      <c r="B1091" s="25">
        <f t="shared" si="16"/>
        <v>1060</v>
      </c>
      <c r="C1091" s="42" t="s">
        <v>58</v>
      </c>
      <c r="D1091" s="174" t="s">
        <v>58</v>
      </c>
      <c r="E1091" s="26" t="e">
        <f>VLOOKUP(C1091,#REF!,3,0)</f>
        <v>#REF!</v>
      </c>
      <c r="F1091" s="205" t="s">
        <v>3451</v>
      </c>
      <c r="G1091" s="175" t="s">
        <v>3452</v>
      </c>
      <c r="H1091" s="175"/>
      <c r="I1091" s="63">
        <v>1</v>
      </c>
      <c r="J1091" s="150" t="s">
        <v>1256</v>
      </c>
      <c r="K1091" s="151"/>
      <c r="L1091" s="152"/>
      <c r="M1091" s="153"/>
      <c r="N1091" s="44">
        <v>500</v>
      </c>
      <c r="O1091" s="25" t="s">
        <v>3400</v>
      </c>
      <c r="P1091" s="34"/>
    </row>
    <row r="1092" spans="2:16" ht="27.75" customHeight="1">
      <c r="B1092" s="25">
        <f t="shared" si="16"/>
        <v>1061</v>
      </c>
      <c r="C1092" s="42" t="s">
        <v>903</v>
      </c>
      <c r="D1092" s="174" t="s">
        <v>903</v>
      </c>
      <c r="E1092" s="26" t="e">
        <f>VLOOKUP(C1092,#REF!,3,0)</f>
        <v>#REF!</v>
      </c>
      <c r="F1092" s="205" t="s">
        <v>3453</v>
      </c>
      <c r="G1092" s="175" t="s">
        <v>3454</v>
      </c>
      <c r="H1092" s="175"/>
      <c r="I1092" s="63">
        <v>1</v>
      </c>
      <c r="J1092" s="150" t="s">
        <v>1256</v>
      </c>
      <c r="K1092" s="151"/>
      <c r="L1092" s="152"/>
      <c r="M1092" s="153"/>
      <c r="N1092" s="44">
        <v>500</v>
      </c>
      <c r="O1092" s="25" t="s">
        <v>3400</v>
      </c>
      <c r="P1092" s="34" t="s">
        <v>3455</v>
      </c>
    </row>
    <row r="1093" spans="2:16" ht="27.75" customHeight="1">
      <c r="B1093" s="25">
        <f t="shared" si="16"/>
        <v>1062</v>
      </c>
      <c r="C1093" s="42" t="s">
        <v>972</v>
      </c>
      <c r="D1093" s="174" t="s">
        <v>972</v>
      </c>
      <c r="E1093" s="26" t="e">
        <f>VLOOKUP(C1093,#REF!,3,0)</f>
        <v>#REF!</v>
      </c>
      <c r="F1093" s="205" t="s">
        <v>3456</v>
      </c>
      <c r="G1093" s="175" t="s">
        <v>3402</v>
      </c>
      <c r="H1093" s="175"/>
      <c r="I1093" s="63">
        <v>1</v>
      </c>
      <c r="J1093" s="150" t="s">
        <v>1256</v>
      </c>
      <c r="K1093" s="151"/>
      <c r="L1093" s="152"/>
      <c r="M1093" s="153"/>
      <c r="N1093" s="44">
        <v>500</v>
      </c>
      <c r="O1093" s="25" t="s">
        <v>3400</v>
      </c>
      <c r="P1093" s="34" t="s">
        <v>3457</v>
      </c>
    </row>
    <row r="1094" spans="2:16" ht="27.75" customHeight="1">
      <c r="B1094" s="25">
        <f t="shared" si="16"/>
        <v>1063</v>
      </c>
      <c r="C1094" s="42" t="s">
        <v>57</v>
      </c>
      <c r="D1094" s="174" t="s">
        <v>972</v>
      </c>
      <c r="E1094" s="26" t="e">
        <f>VLOOKUP(C1094,#REF!,3,0)</f>
        <v>#REF!</v>
      </c>
      <c r="F1094" s="205" t="s">
        <v>3458</v>
      </c>
      <c r="G1094" s="175" t="s">
        <v>3415</v>
      </c>
      <c r="H1094" s="175"/>
      <c r="I1094" s="63">
        <v>1</v>
      </c>
      <c r="J1094" s="150" t="s">
        <v>1256</v>
      </c>
      <c r="K1094" s="151"/>
      <c r="L1094" s="152"/>
      <c r="M1094" s="153"/>
      <c r="N1094" s="44">
        <v>500</v>
      </c>
      <c r="O1094" s="25" t="s">
        <v>3400</v>
      </c>
      <c r="P1094" s="34" t="s">
        <v>3457</v>
      </c>
    </row>
    <row r="1095" spans="2:16" ht="27.75" customHeight="1">
      <c r="B1095" s="25">
        <f t="shared" ref="B1095:B1158" si="17">B1094+1</f>
        <v>1064</v>
      </c>
      <c r="C1095" s="42" t="s">
        <v>51</v>
      </c>
      <c r="D1095" s="174" t="s">
        <v>51</v>
      </c>
      <c r="E1095" s="26" t="e">
        <f>VLOOKUP(C1095,#REF!,3,0)</f>
        <v>#REF!</v>
      </c>
      <c r="F1095" s="205" t="s">
        <v>3459</v>
      </c>
      <c r="G1095" s="175" t="s">
        <v>3460</v>
      </c>
      <c r="H1095" s="175"/>
      <c r="I1095" s="63">
        <v>1</v>
      </c>
      <c r="J1095" s="150" t="s">
        <v>1256</v>
      </c>
      <c r="K1095" s="151"/>
      <c r="L1095" s="152"/>
      <c r="M1095" s="153"/>
      <c r="N1095" s="44">
        <v>500</v>
      </c>
      <c r="O1095" s="25" t="s">
        <v>3400</v>
      </c>
      <c r="P1095" s="34"/>
    </row>
    <row r="1096" spans="2:16" ht="27.75" customHeight="1">
      <c r="B1096" s="25">
        <f t="shared" si="17"/>
        <v>1065</v>
      </c>
      <c r="C1096" s="42" t="s">
        <v>322</v>
      </c>
      <c r="D1096" s="174" t="s">
        <v>322</v>
      </c>
      <c r="E1096" s="26" t="e">
        <f>VLOOKUP(C1096,#REF!,3,0)</f>
        <v>#REF!</v>
      </c>
      <c r="F1096" s="205" t="s">
        <v>3461</v>
      </c>
      <c r="G1096" s="175" t="s">
        <v>3462</v>
      </c>
      <c r="H1096" s="175"/>
      <c r="I1096" s="63">
        <v>1</v>
      </c>
      <c r="J1096" s="150" t="s">
        <v>1256</v>
      </c>
      <c r="K1096" s="151"/>
      <c r="L1096" s="152"/>
      <c r="M1096" s="153"/>
      <c r="N1096" s="44">
        <v>500</v>
      </c>
      <c r="O1096" s="25" t="s">
        <v>3400</v>
      </c>
      <c r="P1096" s="34"/>
    </row>
    <row r="1097" spans="2:16" ht="27.75" customHeight="1">
      <c r="B1097" s="25">
        <f t="shared" si="17"/>
        <v>1066</v>
      </c>
      <c r="C1097" s="42" t="s">
        <v>323</v>
      </c>
      <c r="D1097" s="174" t="s">
        <v>323</v>
      </c>
      <c r="E1097" s="26" t="e">
        <f>VLOOKUP(C1097,#REF!,3,0)</f>
        <v>#REF!</v>
      </c>
      <c r="F1097" s="205" t="s">
        <v>3463</v>
      </c>
      <c r="G1097" s="176" t="s">
        <v>3464</v>
      </c>
      <c r="H1097" s="176"/>
      <c r="I1097" s="63">
        <v>1</v>
      </c>
      <c r="J1097" s="150" t="s">
        <v>1256</v>
      </c>
      <c r="K1097" s="151"/>
      <c r="L1097" s="152"/>
      <c r="M1097" s="153"/>
      <c r="N1097" s="44">
        <v>500</v>
      </c>
      <c r="O1097" s="25" t="s">
        <v>3400</v>
      </c>
      <c r="P1097" s="34"/>
    </row>
    <row r="1098" spans="2:16" ht="27.75" customHeight="1">
      <c r="B1098" s="25">
        <f t="shared" si="17"/>
        <v>1067</v>
      </c>
      <c r="C1098" s="42" t="s">
        <v>49</v>
      </c>
      <c r="D1098" s="174" t="s">
        <v>49</v>
      </c>
      <c r="E1098" s="26" t="e">
        <f>VLOOKUP(C1098,#REF!,3,0)</f>
        <v>#REF!</v>
      </c>
      <c r="F1098" s="205" t="s">
        <v>3465</v>
      </c>
      <c r="G1098" s="175" t="s">
        <v>3413</v>
      </c>
      <c r="H1098" s="175"/>
      <c r="I1098" s="63">
        <v>1</v>
      </c>
      <c r="J1098" s="150" t="s">
        <v>1256</v>
      </c>
      <c r="K1098" s="151"/>
      <c r="L1098" s="152"/>
      <c r="M1098" s="153"/>
      <c r="N1098" s="44">
        <v>500</v>
      </c>
      <c r="O1098" s="25" t="s">
        <v>3400</v>
      </c>
      <c r="P1098" s="34"/>
    </row>
    <row r="1099" spans="2:16" ht="27.75" customHeight="1">
      <c r="B1099" s="25">
        <f t="shared" si="17"/>
        <v>1068</v>
      </c>
      <c r="C1099" s="42" t="s">
        <v>52</v>
      </c>
      <c r="D1099" s="174" t="s">
        <v>52</v>
      </c>
      <c r="E1099" s="26" t="e">
        <f>VLOOKUP(C1099,#REF!,3,0)</f>
        <v>#REF!</v>
      </c>
      <c r="F1099" s="205" t="s">
        <v>3466</v>
      </c>
      <c r="G1099" s="175" t="s">
        <v>3467</v>
      </c>
      <c r="H1099" s="175"/>
      <c r="I1099" s="63">
        <v>1</v>
      </c>
      <c r="J1099" s="150"/>
      <c r="K1099" s="151"/>
      <c r="L1099" s="152" t="s">
        <v>1582</v>
      </c>
      <c r="M1099" s="153"/>
      <c r="N1099" s="44">
        <v>500</v>
      </c>
      <c r="O1099" s="25" t="s">
        <v>3400</v>
      </c>
      <c r="P1099" s="34"/>
    </row>
    <row r="1100" spans="2:16" ht="27.75" customHeight="1">
      <c r="B1100" s="25">
        <f t="shared" si="17"/>
        <v>1069</v>
      </c>
      <c r="C1100" s="42" t="s">
        <v>53</v>
      </c>
      <c r="D1100" s="174" t="s">
        <v>53</v>
      </c>
      <c r="E1100" s="26" t="e">
        <f>VLOOKUP(C1100,#REF!,3,0)</f>
        <v>#REF!</v>
      </c>
      <c r="F1100" s="205" t="s">
        <v>3468</v>
      </c>
      <c r="G1100" s="175" t="s">
        <v>3469</v>
      </c>
      <c r="H1100" s="175"/>
      <c r="I1100" s="63">
        <v>1</v>
      </c>
      <c r="J1100" s="150"/>
      <c r="K1100" s="151"/>
      <c r="L1100" s="152" t="s">
        <v>1582</v>
      </c>
      <c r="M1100" s="153"/>
      <c r="N1100" s="44">
        <v>500</v>
      </c>
      <c r="O1100" s="25" t="s">
        <v>3400</v>
      </c>
      <c r="P1100" s="34"/>
    </row>
    <row r="1101" spans="2:16" ht="27.75" customHeight="1">
      <c r="B1101" s="25">
        <f t="shared" si="17"/>
        <v>1070</v>
      </c>
      <c r="C1101" s="42" t="s">
        <v>3470</v>
      </c>
      <c r="D1101" s="174" t="s">
        <v>3470</v>
      </c>
      <c r="E1101" s="26"/>
      <c r="F1101" s="232" t="s">
        <v>3471</v>
      </c>
      <c r="G1101" s="177" t="s">
        <v>3472</v>
      </c>
      <c r="H1101" s="175" t="s">
        <v>1215</v>
      </c>
      <c r="I1101" s="63">
        <v>1</v>
      </c>
      <c r="J1101" s="150"/>
      <c r="K1101" s="151"/>
      <c r="L1101" s="152"/>
      <c r="M1101" s="153"/>
      <c r="N1101" s="44">
        <v>500</v>
      </c>
      <c r="O1101" s="25" t="s">
        <v>3400</v>
      </c>
      <c r="P1101" s="34" t="s">
        <v>3473</v>
      </c>
    </row>
    <row r="1102" spans="2:16" ht="27.75" customHeight="1">
      <c r="B1102" s="25">
        <f t="shared" si="17"/>
        <v>1071</v>
      </c>
      <c r="C1102" s="42" t="s">
        <v>3474</v>
      </c>
      <c r="D1102" s="174" t="s">
        <v>3474</v>
      </c>
      <c r="E1102" s="26"/>
      <c r="F1102" s="232" t="s">
        <v>3475</v>
      </c>
      <c r="G1102" s="177" t="s">
        <v>3476</v>
      </c>
      <c r="H1102" s="175"/>
      <c r="I1102" s="63">
        <v>1</v>
      </c>
      <c r="J1102" s="150"/>
      <c r="K1102" s="151"/>
      <c r="L1102" s="152"/>
      <c r="M1102" s="153"/>
      <c r="N1102" s="44">
        <v>500</v>
      </c>
      <c r="O1102" s="25" t="s">
        <v>3400</v>
      </c>
      <c r="P1102" s="34" t="s">
        <v>3477</v>
      </c>
    </row>
    <row r="1103" spans="2:16" ht="27.75" customHeight="1">
      <c r="B1103" s="25">
        <f t="shared" si="17"/>
        <v>1072</v>
      </c>
      <c r="C1103" s="42" t="s">
        <v>3478</v>
      </c>
      <c r="D1103" s="174" t="s">
        <v>3478</v>
      </c>
      <c r="E1103" s="26"/>
      <c r="F1103" s="232" t="s">
        <v>3479</v>
      </c>
      <c r="G1103" s="177" t="s">
        <v>3480</v>
      </c>
      <c r="H1103" s="175" t="s">
        <v>1215</v>
      </c>
      <c r="I1103" s="63">
        <v>1</v>
      </c>
      <c r="J1103" s="150"/>
      <c r="K1103" s="151"/>
      <c r="L1103" s="152"/>
      <c r="M1103" s="153"/>
      <c r="N1103" s="44">
        <v>500</v>
      </c>
      <c r="O1103" s="25" t="s">
        <v>3400</v>
      </c>
      <c r="P1103" s="34" t="s">
        <v>3481</v>
      </c>
    </row>
    <row r="1104" spans="2:16" ht="27.75" customHeight="1">
      <c r="B1104" s="25">
        <f t="shared" si="17"/>
        <v>1073</v>
      </c>
      <c r="C1104" s="42" t="s">
        <v>3482</v>
      </c>
      <c r="D1104" s="174" t="s">
        <v>3482</v>
      </c>
      <c r="E1104" s="26"/>
      <c r="F1104" s="233" t="s">
        <v>3483</v>
      </c>
      <c r="G1104" s="178" t="s">
        <v>3484</v>
      </c>
      <c r="H1104" s="175"/>
      <c r="I1104" s="63">
        <v>1</v>
      </c>
      <c r="J1104" s="150"/>
      <c r="K1104" s="151"/>
      <c r="L1104" s="152"/>
      <c r="M1104" s="153"/>
      <c r="N1104" s="44">
        <v>500</v>
      </c>
      <c r="O1104" s="25" t="s">
        <v>3400</v>
      </c>
      <c r="P1104" s="34" t="s">
        <v>3485</v>
      </c>
    </row>
    <row r="1105" spans="2:16" ht="27.75" customHeight="1">
      <c r="B1105" s="25">
        <f t="shared" si="17"/>
        <v>1074</v>
      </c>
      <c r="C1105" s="42" t="s">
        <v>3486</v>
      </c>
      <c r="D1105" s="174" t="s">
        <v>3486</v>
      </c>
      <c r="E1105" s="26"/>
      <c r="F1105" s="233" t="s">
        <v>3487</v>
      </c>
      <c r="G1105" s="178" t="s">
        <v>3488</v>
      </c>
      <c r="H1105" s="175" t="s">
        <v>1215</v>
      </c>
      <c r="I1105" s="63">
        <v>1</v>
      </c>
      <c r="J1105" s="150"/>
      <c r="K1105" s="151"/>
      <c r="L1105" s="152"/>
      <c r="M1105" s="153"/>
      <c r="N1105" s="44">
        <v>500</v>
      </c>
      <c r="O1105" s="25" t="s">
        <v>3400</v>
      </c>
      <c r="P1105" s="34" t="s">
        <v>3489</v>
      </c>
    </row>
    <row r="1106" spans="2:16" ht="27.75" customHeight="1">
      <c r="B1106" s="25">
        <f t="shared" si="17"/>
        <v>1075</v>
      </c>
      <c r="C1106" s="42" t="s">
        <v>3490</v>
      </c>
      <c r="D1106" s="174" t="s">
        <v>3490</v>
      </c>
      <c r="E1106" s="26"/>
      <c r="F1106" s="233" t="s">
        <v>3491</v>
      </c>
      <c r="G1106" s="178" t="s">
        <v>3492</v>
      </c>
      <c r="H1106" s="175"/>
      <c r="I1106" s="63">
        <v>1</v>
      </c>
      <c r="J1106" s="150"/>
      <c r="K1106" s="151"/>
      <c r="L1106" s="152"/>
      <c r="M1106" s="153"/>
      <c r="N1106" s="44">
        <v>500</v>
      </c>
      <c r="O1106" s="25" t="s">
        <v>3400</v>
      </c>
      <c r="P1106" s="34" t="s">
        <v>3493</v>
      </c>
    </row>
    <row r="1107" spans="2:16" ht="27.75" customHeight="1">
      <c r="B1107" s="25">
        <f t="shared" si="17"/>
        <v>1076</v>
      </c>
      <c r="C1107" s="42" t="s">
        <v>3494</v>
      </c>
      <c r="D1107" s="174" t="s">
        <v>3494</v>
      </c>
      <c r="E1107" s="26"/>
      <c r="F1107" s="233" t="s">
        <v>3495</v>
      </c>
      <c r="G1107" s="178" t="s">
        <v>3496</v>
      </c>
      <c r="H1107" s="175" t="s">
        <v>1215</v>
      </c>
      <c r="I1107" s="63">
        <v>1</v>
      </c>
      <c r="J1107" s="150"/>
      <c r="K1107" s="151"/>
      <c r="L1107" s="152"/>
      <c r="M1107" s="153"/>
      <c r="N1107" s="44">
        <v>500</v>
      </c>
      <c r="O1107" s="25" t="s">
        <v>3400</v>
      </c>
      <c r="P1107" s="34" t="s">
        <v>3497</v>
      </c>
    </row>
    <row r="1108" spans="2:16" ht="27.75" customHeight="1">
      <c r="B1108" s="25">
        <f t="shared" si="17"/>
        <v>1077</v>
      </c>
      <c r="C1108" s="42" t="s">
        <v>3498</v>
      </c>
      <c r="D1108" s="174" t="s">
        <v>3498</v>
      </c>
      <c r="E1108" s="26"/>
      <c r="F1108" s="233" t="s">
        <v>3499</v>
      </c>
      <c r="G1108" s="178" t="s">
        <v>3500</v>
      </c>
      <c r="H1108" s="175"/>
      <c r="I1108" s="63">
        <v>1</v>
      </c>
      <c r="J1108" s="150"/>
      <c r="K1108" s="151"/>
      <c r="L1108" s="152"/>
      <c r="M1108" s="153"/>
      <c r="N1108" s="44">
        <v>500</v>
      </c>
      <c r="O1108" s="25" t="s">
        <v>3400</v>
      </c>
      <c r="P1108" s="34" t="s">
        <v>3501</v>
      </c>
    </row>
    <row r="1109" spans="2:16" ht="27.75" customHeight="1">
      <c r="B1109" s="25">
        <f t="shared" si="17"/>
        <v>1078</v>
      </c>
      <c r="C1109" s="42" t="s">
        <v>3502</v>
      </c>
      <c r="D1109" s="174" t="s">
        <v>3502</v>
      </c>
      <c r="E1109" s="26"/>
      <c r="F1109" s="233" t="s">
        <v>3503</v>
      </c>
      <c r="G1109" s="178" t="s">
        <v>3504</v>
      </c>
      <c r="H1109" s="175"/>
      <c r="I1109" s="63">
        <v>1</v>
      </c>
      <c r="J1109" s="150"/>
      <c r="K1109" s="151"/>
      <c r="L1109" s="152"/>
      <c r="M1109" s="153"/>
      <c r="N1109" s="44">
        <v>500</v>
      </c>
      <c r="O1109" s="25" t="s">
        <v>3400</v>
      </c>
      <c r="P1109" s="34" t="s">
        <v>3505</v>
      </c>
    </row>
    <row r="1110" spans="2:16" ht="27.75" customHeight="1">
      <c r="B1110" s="25">
        <f t="shared" si="17"/>
        <v>1079</v>
      </c>
      <c r="C1110" s="42" t="s">
        <v>3506</v>
      </c>
      <c r="D1110" s="174" t="s">
        <v>3506</v>
      </c>
      <c r="E1110" s="26"/>
      <c r="F1110" s="233" t="s">
        <v>3507</v>
      </c>
      <c r="G1110" s="178" t="s">
        <v>3508</v>
      </c>
      <c r="H1110" s="175" t="s">
        <v>1275</v>
      </c>
      <c r="I1110" s="63">
        <v>1</v>
      </c>
      <c r="J1110" s="150"/>
      <c r="K1110" s="151"/>
      <c r="L1110" s="152"/>
      <c r="M1110" s="153"/>
      <c r="N1110" s="44">
        <v>500</v>
      </c>
      <c r="O1110" s="25" t="s">
        <v>3400</v>
      </c>
      <c r="P1110" s="34" t="s">
        <v>3509</v>
      </c>
    </row>
    <row r="1111" spans="2:16" ht="27.75" customHeight="1">
      <c r="B1111" s="25">
        <f t="shared" si="17"/>
        <v>1080</v>
      </c>
      <c r="C1111" s="42" t="s">
        <v>3510</v>
      </c>
      <c r="D1111" s="174" t="s">
        <v>3510</v>
      </c>
      <c r="E1111" s="26"/>
      <c r="F1111" s="233" t="s">
        <v>3511</v>
      </c>
      <c r="G1111" s="178" t="s">
        <v>3512</v>
      </c>
      <c r="H1111" s="175"/>
      <c r="I1111" s="63">
        <v>1</v>
      </c>
      <c r="J1111" s="150"/>
      <c r="K1111" s="151"/>
      <c r="L1111" s="152"/>
      <c r="M1111" s="153"/>
      <c r="N1111" s="44">
        <v>500</v>
      </c>
      <c r="O1111" s="25" t="s">
        <v>3400</v>
      </c>
      <c r="P1111" s="34" t="s">
        <v>3505</v>
      </c>
    </row>
    <row r="1112" spans="2:16" ht="27.75" customHeight="1">
      <c r="B1112" s="25">
        <f t="shared" si="17"/>
        <v>1081</v>
      </c>
      <c r="C1112" s="42" t="s">
        <v>3513</v>
      </c>
      <c r="D1112" s="174" t="s">
        <v>3513</v>
      </c>
      <c r="E1112" s="26"/>
      <c r="F1112" s="233" t="s">
        <v>3514</v>
      </c>
      <c r="G1112" s="178" t="s">
        <v>3515</v>
      </c>
      <c r="H1112" s="175" t="s">
        <v>1215</v>
      </c>
      <c r="I1112" s="63">
        <v>1</v>
      </c>
      <c r="J1112" s="150"/>
      <c r="K1112" s="151"/>
      <c r="L1112" s="152"/>
      <c r="M1112" s="153"/>
      <c r="N1112" s="44">
        <v>500</v>
      </c>
      <c r="O1112" s="25" t="s">
        <v>3400</v>
      </c>
      <c r="P1112" s="34" t="s">
        <v>3516</v>
      </c>
    </row>
    <row r="1113" spans="2:16" ht="27.75" customHeight="1">
      <c r="B1113" s="25">
        <f t="shared" si="17"/>
        <v>1082</v>
      </c>
      <c r="C1113" s="42" t="s">
        <v>3517</v>
      </c>
      <c r="D1113" s="174" t="s">
        <v>3517</v>
      </c>
      <c r="E1113" s="26"/>
      <c r="F1113" s="233" t="s">
        <v>3518</v>
      </c>
      <c r="G1113" s="178" t="s">
        <v>3519</v>
      </c>
      <c r="H1113" s="175" t="s">
        <v>3520</v>
      </c>
      <c r="I1113" s="63">
        <v>1</v>
      </c>
      <c r="J1113" s="150"/>
      <c r="K1113" s="151"/>
      <c r="L1113" s="152"/>
      <c r="M1113" s="153"/>
      <c r="N1113" s="44">
        <v>500</v>
      </c>
      <c r="O1113" s="25" t="s">
        <v>3400</v>
      </c>
      <c r="P1113" s="34" t="s">
        <v>3521</v>
      </c>
    </row>
    <row r="1114" spans="2:16" ht="27.75" customHeight="1">
      <c r="B1114" s="25">
        <f t="shared" si="17"/>
        <v>1083</v>
      </c>
      <c r="C1114" s="42" t="s">
        <v>3522</v>
      </c>
      <c r="D1114" s="174" t="s">
        <v>3522</v>
      </c>
      <c r="E1114" s="26"/>
      <c r="F1114" s="233" t="s">
        <v>3523</v>
      </c>
      <c r="G1114" s="178" t="s">
        <v>3524</v>
      </c>
      <c r="H1114" s="175"/>
      <c r="I1114" s="63">
        <v>1</v>
      </c>
      <c r="J1114" s="150"/>
      <c r="K1114" s="151"/>
      <c r="L1114" s="152"/>
      <c r="M1114" s="153"/>
      <c r="N1114" s="44">
        <v>500</v>
      </c>
      <c r="O1114" s="25" t="s">
        <v>3400</v>
      </c>
      <c r="P1114" s="34" t="s">
        <v>3525</v>
      </c>
    </row>
    <row r="1115" spans="2:16" ht="27.75" customHeight="1">
      <c r="B1115" s="25">
        <f t="shared" si="17"/>
        <v>1084</v>
      </c>
      <c r="C1115" s="42" t="s">
        <v>65</v>
      </c>
      <c r="D1115" s="17" t="s">
        <v>65</v>
      </c>
      <c r="E1115" s="26" t="e">
        <f>VLOOKUP(C1115,#REF!,3,0)</f>
        <v>#REF!</v>
      </c>
      <c r="F1115" s="57" t="s">
        <v>3526</v>
      </c>
      <c r="G1115" s="54" t="s">
        <v>3527</v>
      </c>
      <c r="H1115" s="54"/>
      <c r="I1115" s="35">
        <v>1</v>
      </c>
      <c r="J1115" s="150" t="s">
        <v>1256</v>
      </c>
      <c r="K1115" s="37"/>
      <c r="L1115" s="38"/>
      <c r="M1115" s="39"/>
      <c r="N1115" s="44">
        <v>800</v>
      </c>
      <c r="O1115" s="25" t="s">
        <v>1360</v>
      </c>
      <c r="P1115" s="34"/>
    </row>
    <row r="1116" spans="2:16" ht="27.75" customHeight="1">
      <c r="B1116" s="25">
        <f t="shared" si="17"/>
        <v>1085</v>
      </c>
      <c r="C1116" s="42" t="s">
        <v>1067</v>
      </c>
      <c r="D1116" s="17" t="s">
        <v>1067</v>
      </c>
      <c r="E1116" s="26" t="e">
        <f>VLOOKUP(C1116,#REF!,3,0)</f>
        <v>#REF!</v>
      </c>
      <c r="F1116" s="234" t="s">
        <v>3528</v>
      </c>
      <c r="G1116" s="180" t="s">
        <v>3529</v>
      </c>
      <c r="H1116" s="180"/>
      <c r="I1116" s="181">
        <v>4</v>
      </c>
      <c r="J1116" s="150"/>
      <c r="K1116" s="37"/>
      <c r="L1116" s="38" t="s">
        <v>1582</v>
      </c>
      <c r="M1116" s="39"/>
      <c r="N1116" s="44">
        <v>800</v>
      </c>
      <c r="O1116" s="25" t="s">
        <v>1360</v>
      </c>
      <c r="P1116" s="34"/>
    </row>
    <row r="1117" spans="2:16" ht="27.75" customHeight="1">
      <c r="B1117" s="25">
        <f t="shared" si="17"/>
        <v>1086</v>
      </c>
      <c r="C1117" s="42" t="s">
        <v>194</v>
      </c>
      <c r="D1117" s="17" t="s">
        <v>194</v>
      </c>
      <c r="E1117" s="26" t="e">
        <f>VLOOKUP(C1117,#REF!,3,0)</f>
        <v>#REF!</v>
      </c>
      <c r="F1117" s="234" t="s">
        <v>3530</v>
      </c>
      <c r="G1117" s="180" t="s">
        <v>3531</v>
      </c>
      <c r="H1117" s="180"/>
      <c r="I1117" s="181">
        <v>4</v>
      </c>
      <c r="J1117" s="150"/>
      <c r="K1117" s="37"/>
      <c r="L1117" s="38" t="s">
        <v>1582</v>
      </c>
      <c r="M1117" s="39"/>
      <c r="N1117" s="44">
        <v>800</v>
      </c>
      <c r="O1117" s="25" t="s">
        <v>1360</v>
      </c>
      <c r="P1117" s="34"/>
    </row>
    <row r="1118" spans="2:16" ht="27.75" customHeight="1">
      <c r="B1118" s="25">
        <f t="shared" si="17"/>
        <v>1087</v>
      </c>
      <c r="C1118" s="42" t="s">
        <v>1100</v>
      </c>
      <c r="D1118" s="17" t="s">
        <v>1100</v>
      </c>
      <c r="E1118" s="26" t="e">
        <f>VLOOKUP(C1118,#REF!,3,0)</f>
        <v>#REF!</v>
      </c>
      <c r="F1118" s="234" t="s">
        <v>3532</v>
      </c>
      <c r="G1118" s="180" t="s">
        <v>3533</v>
      </c>
      <c r="H1118" s="180"/>
      <c r="I1118" s="181">
        <v>2</v>
      </c>
      <c r="J1118" s="150"/>
      <c r="K1118" s="37"/>
      <c r="L1118" s="38" t="s">
        <v>1582</v>
      </c>
      <c r="M1118" s="39"/>
      <c r="N1118" s="44">
        <v>800</v>
      </c>
      <c r="O1118" s="25" t="s">
        <v>1360</v>
      </c>
      <c r="P1118" s="34"/>
    </row>
    <row r="1119" spans="2:16" ht="27.75" customHeight="1">
      <c r="B1119" s="25">
        <f t="shared" si="17"/>
        <v>1088</v>
      </c>
      <c r="C1119" s="42" t="s">
        <v>1077</v>
      </c>
      <c r="D1119" s="17" t="s">
        <v>1077</v>
      </c>
      <c r="E1119" s="26" t="e">
        <f>VLOOKUP(C1119,#REF!,3,0)</f>
        <v>#REF!</v>
      </c>
      <c r="F1119" s="234" t="s">
        <v>3534</v>
      </c>
      <c r="G1119" s="180" t="s">
        <v>3535</v>
      </c>
      <c r="H1119" s="180"/>
      <c r="I1119" s="181">
        <v>4</v>
      </c>
      <c r="J1119" s="150"/>
      <c r="K1119" s="37"/>
      <c r="L1119" s="38" t="s">
        <v>1582</v>
      </c>
      <c r="M1119" s="39"/>
      <c r="N1119" s="44">
        <v>800</v>
      </c>
      <c r="O1119" s="25" t="s">
        <v>1360</v>
      </c>
      <c r="P1119" s="34"/>
    </row>
    <row r="1120" spans="2:16" ht="27.75" customHeight="1">
      <c r="B1120" s="25">
        <f t="shared" si="17"/>
        <v>1089</v>
      </c>
      <c r="C1120" s="42" t="s">
        <v>562</v>
      </c>
      <c r="D1120" s="17" t="s">
        <v>562</v>
      </c>
      <c r="E1120" s="26" t="e">
        <f>VLOOKUP(C1120,#REF!,3,0)</f>
        <v>#REF!</v>
      </c>
      <c r="F1120" s="234" t="s">
        <v>3536</v>
      </c>
      <c r="G1120" s="180" t="s">
        <v>3537</v>
      </c>
      <c r="H1120" s="180"/>
      <c r="I1120" s="181">
        <v>2</v>
      </c>
      <c r="J1120" s="150"/>
      <c r="K1120" s="37"/>
      <c r="L1120" s="38" t="s">
        <v>1582</v>
      </c>
      <c r="M1120" s="39"/>
      <c r="N1120" s="44">
        <v>800</v>
      </c>
      <c r="O1120" s="25" t="s">
        <v>1360</v>
      </c>
      <c r="P1120" s="34"/>
    </row>
    <row r="1121" spans="2:16" ht="27.75" customHeight="1">
      <c r="B1121" s="25">
        <f t="shared" si="17"/>
        <v>1090</v>
      </c>
      <c r="C1121" s="42" t="s">
        <v>561</v>
      </c>
      <c r="D1121" s="17" t="s">
        <v>561</v>
      </c>
      <c r="E1121" s="26" t="e">
        <f>VLOOKUP(C1121,#REF!,3,0)</f>
        <v>#REF!</v>
      </c>
      <c r="F1121" s="234" t="s">
        <v>3538</v>
      </c>
      <c r="G1121" s="180" t="s">
        <v>3539</v>
      </c>
      <c r="H1121" s="180"/>
      <c r="I1121" s="181">
        <v>4</v>
      </c>
      <c r="J1121" s="150"/>
      <c r="K1121" s="37"/>
      <c r="L1121" s="38" t="s">
        <v>1582</v>
      </c>
      <c r="M1121" s="39"/>
      <c r="N1121" s="44">
        <v>800</v>
      </c>
      <c r="O1121" s="25" t="s">
        <v>1360</v>
      </c>
      <c r="P1121" s="34"/>
    </row>
    <row r="1122" spans="2:16" ht="27.75" customHeight="1">
      <c r="B1122" s="25">
        <f t="shared" si="17"/>
        <v>1091</v>
      </c>
      <c r="C1122" s="42" t="s">
        <v>557</v>
      </c>
      <c r="D1122" s="17" t="s">
        <v>557</v>
      </c>
      <c r="E1122" s="26" t="e">
        <f>VLOOKUP(C1122,#REF!,3,0)</f>
        <v>#REF!</v>
      </c>
      <c r="F1122" s="234" t="s">
        <v>3540</v>
      </c>
      <c r="G1122" s="180" t="s">
        <v>3541</v>
      </c>
      <c r="H1122" s="180"/>
      <c r="I1122" s="181">
        <v>2</v>
      </c>
      <c r="J1122" s="150"/>
      <c r="K1122" s="37"/>
      <c r="L1122" s="38" t="s">
        <v>1582</v>
      </c>
      <c r="M1122" s="39"/>
      <c r="N1122" s="44">
        <v>800</v>
      </c>
      <c r="O1122" s="25" t="s">
        <v>1360</v>
      </c>
      <c r="P1122" s="34"/>
    </row>
    <row r="1123" spans="2:16" ht="27.75" customHeight="1">
      <c r="B1123" s="25">
        <f t="shared" si="17"/>
        <v>1092</v>
      </c>
      <c r="C1123" s="42" t="s">
        <v>33</v>
      </c>
      <c r="D1123" s="17" t="s">
        <v>33</v>
      </c>
      <c r="E1123" s="179" t="e">
        <f>VLOOKUP(C1123,#REF!,3,0)</f>
        <v>#REF!</v>
      </c>
      <c r="F1123" s="235" t="s">
        <v>3542</v>
      </c>
      <c r="G1123" s="17" t="s">
        <v>3543</v>
      </c>
      <c r="H1123" s="25"/>
      <c r="I1123" s="70">
        <v>2</v>
      </c>
      <c r="J1123" s="150" t="s">
        <v>1256</v>
      </c>
      <c r="K1123" s="72"/>
      <c r="L1123" s="38"/>
      <c r="M1123" s="74"/>
      <c r="N1123" s="44">
        <v>500</v>
      </c>
      <c r="O1123" s="25" t="s">
        <v>1360</v>
      </c>
      <c r="P1123" s="34"/>
    </row>
    <row r="1124" spans="2:16" ht="27.75" customHeight="1">
      <c r="B1124" s="25">
        <f t="shared" si="17"/>
        <v>1093</v>
      </c>
      <c r="C1124" s="42" t="s">
        <v>300</v>
      </c>
      <c r="D1124" s="17" t="s">
        <v>300</v>
      </c>
      <c r="E1124" s="179" t="e">
        <f>VLOOKUP(C1124,#REF!,3,0)</f>
        <v>#REF!</v>
      </c>
      <c r="F1124" s="235" t="s">
        <v>3544</v>
      </c>
      <c r="G1124" s="17" t="s">
        <v>3545</v>
      </c>
      <c r="H1124" s="25"/>
      <c r="I1124" s="70">
        <v>1</v>
      </c>
      <c r="J1124" s="71"/>
      <c r="K1124" s="72"/>
      <c r="L1124" s="73" t="s">
        <v>1582</v>
      </c>
      <c r="M1124" s="74"/>
      <c r="N1124" s="44">
        <v>500</v>
      </c>
      <c r="O1124" s="25" t="s">
        <v>3055</v>
      </c>
      <c r="P1124" s="34"/>
    </row>
    <row r="1125" spans="2:16" ht="27.75" customHeight="1">
      <c r="B1125" s="25">
        <f t="shared" si="17"/>
        <v>1094</v>
      </c>
      <c r="C1125" s="42" t="s">
        <v>299</v>
      </c>
      <c r="D1125" s="17" t="s">
        <v>299</v>
      </c>
      <c r="E1125" s="179" t="e">
        <f>VLOOKUP(C1125,#REF!,3,0)</f>
        <v>#REF!</v>
      </c>
      <c r="F1125" s="235" t="s">
        <v>3546</v>
      </c>
      <c r="G1125" s="17" t="s">
        <v>3547</v>
      </c>
      <c r="H1125" s="25"/>
      <c r="I1125" s="70">
        <v>1</v>
      </c>
      <c r="J1125" s="71"/>
      <c r="K1125" s="72"/>
      <c r="L1125" s="73" t="s">
        <v>1582</v>
      </c>
      <c r="M1125" s="74"/>
      <c r="N1125" s="44">
        <v>500</v>
      </c>
      <c r="O1125" s="25" t="s">
        <v>3055</v>
      </c>
      <c r="P1125" s="34"/>
    </row>
    <row r="1126" spans="2:16" ht="27.75" customHeight="1">
      <c r="B1126" s="25">
        <f t="shared" si="17"/>
        <v>1095</v>
      </c>
      <c r="C1126" s="42" t="s">
        <v>3548</v>
      </c>
      <c r="D1126" s="17" t="s">
        <v>3548</v>
      </c>
      <c r="E1126" s="179" t="s">
        <v>1205</v>
      </c>
      <c r="F1126" s="235" t="s">
        <v>1884</v>
      </c>
      <c r="G1126" s="17" t="s">
        <v>1885</v>
      </c>
      <c r="H1126" s="25"/>
      <c r="I1126" s="70">
        <v>2</v>
      </c>
      <c r="J1126" s="71"/>
      <c r="K1126" s="72"/>
      <c r="L1126" s="73" t="s">
        <v>3549</v>
      </c>
      <c r="M1126" s="74"/>
      <c r="N1126" s="44">
        <v>500</v>
      </c>
      <c r="O1126" s="25" t="s">
        <v>3550</v>
      </c>
      <c r="P1126" s="34"/>
    </row>
    <row r="1127" spans="2:16" ht="27.75" customHeight="1">
      <c r="B1127" s="25">
        <f t="shared" si="17"/>
        <v>1096</v>
      </c>
      <c r="C1127" s="42" t="s">
        <v>1217</v>
      </c>
      <c r="D1127" s="17" t="s">
        <v>1217</v>
      </c>
      <c r="E1127" s="179" t="e">
        <f>VLOOKUP(C1127,#REF!,3,0)</f>
        <v>#REF!</v>
      </c>
      <c r="F1127" s="235" t="s">
        <v>3551</v>
      </c>
      <c r="G1127" s="17"/>
      <c r="H1127" s="25"/>
      <c r="I1127" s="70"/>
      <c r="J1127" s="71"/>
      <c r="K1127" s="72"/>
      <c r="L1127" s="73"/>
      <c r="M1127" s="74"/>
      <c r="N1127" s="44"/>
      <c r="O1127" s="25"/>
      <c r="P1127" s="34"/>
    </row>
    <row r="1128" spans="2:16" ht="27.75" customHeight="1">
      <c r="B1128" s="25">
        <f t="shared" si="17"/>
        <v>1097</v>
      </c>
      <c r="C1128" s="42" t="s">
        <v>3552</v>
      </c>
      <c r="D1128" s="17" t="s">
        <v>3552</v>
      </c>
      <c r="E1128" s="179" t="e">
        <f>VLOOKUP(C1128,#REF!,3,0)</f>
        <v>#REF!</v>
      </c>
      <c r="F1128" s="235" t="s">
        <v>3557</v>
      </c>
      <c r="G1128" s="17"/>
      <c r="H1128" s="25"/>
      <c r="I1128" s="70"/>
      <c r="J1128" s="71"/>
      <c r="K1128" s="72"/>
      <c r="L1128" s="73"/>
      <c r="M1128" s="74"/>
      <c r="N1128" s="44"/>
      <c r="O1128" s="25"/>
      <c r="P1128" s="34"/>
    </row>
    <row r="1129" spans="2:16" ht="27.75" customHeight="1">
      <c r="B1129" s="25">
        <f t="shared" si="17"/>
        <v>1098</v>
      </c>
      <c r="C1129" s="42" t="s">
        <v>1235</v>
      </c>
      <c r="D1129" s="17" t="s">
        <v>1235</v>
      </c>
      <c r="E1129" s="179" t="e">
        <f>VLOOKUP(C1129,#REF!,3,0)</f>
        <v>#REF!</v>
      </c>
      <c r="F1129" s="235" t="s">
        <v>3558</v>
      </c>
      <c r="G1129" s="17"/>
      <c r="H1129" s="25"/>
      <c r="I1129" s="70"/>
      <c r="J1129" s="71"/>
      <c r="K1129" s="72"/>
      <c r="L1129" s="73"/>
      <c r="M1129" s="74"/>
      <c r="N1129" s="44"/>
      <c r="O1129" s="25"/>
      <c r="P1129" s="34"/>
    </row>
    <row r="1130" spans="2:16" ht="27.75" customHeight="1">
      <c r="B1130" s="25">
        <f t="shared" si="17"/>
        <v>1099</v>
      </c>
      <c r="C1130" s="42" t="s">
        <v>3553</v>
      </c>
      <c r="D1130" s="17" t="s">
        <v>3553</v>
      </c>
      <c r="E1130" s="179" t="e">
        <f>VLOOKUP(C1130,#REF!,3,0)</f>
        <v>#REF!</v>
      </c>
      <c r="F1130" s="235" t="s">
        <v>3559</v>
      </c>
      <c r="G1130" s="17"/>
      <c r="H1130" s="25"/>
      <c r="I1130" s="70"/>
      <c r="J1130" s="71"/>
      <c r="K1130" s="72"/>
      <c r="L1130" s="73"/>
      <c r="M1130" s="74"/>
      <c r="N1130" s="44"/>
      <c r="O1130" s="25"/>
      <c r="P1130" s="34"/>
    </row>
    <row r="1131" spans="2:16" ht="27.75" customHeight="1">
      <c r="B1131" s="25">
        <f t="shared" si="17"/>
        <v>1100</v>
      </c>
      <c r="C1131" s="42" t="s">
        <v>1220</v>
      </c>
      <c r="D1131" s="17" t="s">
        <v>1220</v>
      </c>
      <c r="E1131" s="179" t="e">
        <f>VLOOKUP(C1131,#REF!,3,0)</f>
        <v>#REF!</v>
      </c>
      <c r="F1131" s="235" t="s">
        <v>3560</v>
      </c>
      <c r="G1131" s="17"/>
      <c r="H1131" s="25"/>
      <c r="I1131" s="70"/>
      <c r="J1131" s="71"/>
      <c r="K1131" s="72"/>
      <c r="L1131" s="73"/>
      <c r="M1131" s="74"/>
      <c r="N1131" s="44"/>
      <c r="O1131" s="25"/>
      <c r="P1131" s="34"/>
    </row>
    <row r="1132" spans="2:16" ht="27.75" customHeight="1">
      <c r="B1132" s="25">
        <f t="shared" si="17"/>
        <v>1101</v>
      </c>
      <c r="C1132" s="42" t="s">
        <v>3554</v>
      </c>
      <c r="D1132" s="17" t="s">
        <v>3554</v>
      </c>
      <c r="E1132" s="179" t="e">
        <f>VLOOKUP(C1132,#REF!,3,0)</f>
        <v>#REF!</v>
      </c>
      <c r="F1132" s="235" t="s">
        <v>3561</v>
      </c>
      <c r="G1132" s="17"/>
      <c r="H1132" s="25"/>
      <c r="I1132" s="70"/>
      <c r="J1132" s="71"/>
      <c r="K1132" s="72"/>
      <c r="L1132" s="73"/>
      <c r="M1132" s="74"/>
      <c r="N1132" s="44"/>
      <c r="O1132" s="25"/>
      <c r="P1132" s="34"/>
    </row>
    <row r="1133" spans="2:16" ht="27.75" customHeight="1">
      <c r="B1133" s="25">
        <f t="shared" si="17"/>
        <v>1102</v>
      </c>
      <c r="C1133" s="42" t="s">
        <v>1236</v>
      </c>
      <c r="D1133" s="17" t="s">
        <v>1236</v>
      </c>
      <c r="E1133" s="179" t="e">
        <f>VLOOKUP(C1133,#REF!,3,0)</f>
        <v>#REF!</v>
      </c>
      <c r="F1133" s="235" t="s">
        <v>3562</v>
      </c>
      <c r="G1133" s="17"/>
      <c r="H1133" s="25"/>
      <c r="I1133" s="70"/>
      <c r="J1133" s="71"/>
      <c r="K1133" s="72"/>
      <c r="L1133" s="73"/>
      <c r="M1133" s="74"/>
      <c r="N1133" s="44"/>
      <c r="O1133" s="25"/>
      <c r="P1133" s="34"/>
    </row>
    <row r="1134" spans="2:16" ht="27.75" customHeight="1">
      <c r="B1134" s="25">
        <f t="shared" si="17"/>
        <v>1103</v>
      </c>
      <c r="C1134" s="42" t="s">
        <v>1234</v>
      </c>
      <c r="D1134" s="17" t="s">
        <v>1234</v>
      </c>
      <c r="E1134" s="179" t="e">
        <f>VLOOKUP(C1134,#REF!,3,0)</f>
        <v>#REF!</v>
      </c>
      <c r="F1134" s="235" t="s">
        <v>3563</v>
      </c>
      <c r="G1134" s="17"/>
      <c r="H1134" s="25"/>
      <c r="I1134" s="70"/>
      <c r="J1134" s="71"/>
      <c r="K1134" s="72"/>
      <c r="L1134" s="73"/>
      <c r="M1134" s="74"/>
      <c r="N1134" s="44"/>
      <c r="O1134" s="25"/>
      <c r="P1134" s="34"/>
    </row>
    <row r="1135" spans="2:16" ht="27.75" customHeight="1">
      <c r="B1135" s="25">
        <f t="shared" si="17"/>
        <v>1104</v>
      </c>
      <c r="C1135" s="42" t="s">
        <v>3555</v>
      </c>
      <c r="D1135" s="17" t="s">
        <v>3555</v>
      </c>
      <c r="E1135" s="179" t="e">
        <f>VLOOKUP(C1135,#REF!,3,0)</f>
        <v>#REF!</v>
      </c>
      <c r="F1135" s="235" t="s">
        <v>3564</v>
      </c>
      <c r="G1135" s="17"/>
      <c r="H1135" s="25"/>
      <c r="I1135" s="70"/>
      <c r="J1135" s="71"/>
      <c r="K1135" s="72"/>
      <c r="L1135" s="73"/>
      <c r="M1135" s="74"/>
      <c r="N1135" s="44"/>
      <c r="O1135" s="25"/>
      <c r="P1135" s="34"/>
    </row>
    <row r="1136" spans="2:16" ht="27.75" customHeight="1">
      <c r="B1136" s="25">
        <f t="shared" si="17"/>
        <v>1105</v>
      </c>
      <c r="C1136" s="42" t="s">
        <v>1219</v>
      </c>
      <c r="D1136" s="17" t="s">
        <v>1219</v>
      </c>
      <c r="E1136" s="179" t="e">
        <f>VLOOKUP(C1136,#REF!,3,0)</f>
        <v>#REF!</v>
      </c>
      <c r="F1136" s="235" t="s">
        <v>3565</v>
      </c>
      <c r="G1136" s="17"/>
      <c r="H1136" s="25"/>
      <c r="I1136" s="70"/>
      <c r="J1136" s="71"/>
      <c r="K1136" s="72"/>
      <c r="L1136" s="73"/>
      <c r="M1136" s="74"/>
      <c r="N1136" s="44"/>
      <c r="O1136" s="25"/>
      <c r="P1136" s="34"/>
    </row>
    <row r="1137" spans="2:16" ht="27.75" customHeight="1">
      <c r="B1137" s="25">
        <f t="shared" si="17"/>
        <v>1106</v>
      </c>
      <c r="C1137" s="42" t="s">
        <v>1218</v>
      </c>
      <c r="D1137" s="17" t="s">
        <v>1218</v>
      </c>
      <c r="E1137" s="179" t="e">
        <f>VLOOKUP(C1137,#REF!,3,0)</f>
        <v>#REF!</v>
      </c>
      <c r="F1137" s="235" t="s">
        <v>3566</v>
      </c>
      <c r="G1137" s="17"/>
      <c r="H1137" s="25"/>
      <c r="I1137" s="70"/>
      <c r="J1137" s="71"/>
      <c r="K1137" s="72"/>
      <c r="L1137" s="73"/>
      <c r="M1137" s="74"/>
      <c r="N1137" s="44"/>
      <c r="O1137" s="25"/>
      <c r="P1137" s="34"/>
    </row>
    <row r="1138" spans="2:16" ht="27.75" customHeight="1">
      <c r="B1138" s="25">
        <f t="shared" si="17"/>
        <v>1107</v>
      </c>
      <c r="C1138" s="42" t="s">
        <v>3556</v>
      </c>
      <c r="D1138" s="17" t="s">
        <v>3556</v>
      </c>
      <c r="E1138" s="179" t="e">
        <f>VLOOKUP(C1138,#REF!,3,0)</f>
        <v>#REF!</v>
      </c>
      <c r="F1138" s="235" t="s">
        <v>3567</v>
      </c>
      <c r="G1138" s="17"/>
      <c r="H1138" s="25"/>
      <c r="I1138" s="70"/>
      <c r="J1138" s="71"/>
      <c r="K1138" s="72"/>
      <c r="L1138" s="73"/>
      <c r="M1138" s="74"/>
      <c r="N1138" s="44"/>
      <c r="O1138" s="25"/>
      <c r="P1138" s="34"/>
    </row>
    <row r="1139" spans="2:16" ht="27.75" customHeight="1">
      <c r="B1139" s="25">
        <f t="shared" si="17"/>
        <v>1108</v>
      </c>
      <c r="C1139" s="42" t="s">
        <v>1227</v>
      </c>
      <c r="D1139" s="17" t="s">
        <v>1227</v>
      </c>
      <c r="E1139" s="179" t="e">
        <f>VLOOKUP(C1139,#REF!,3,0)</f>
        <v>#REF!</v>
      </c>
      <c r="F1139" s="235" t="s">
        <v>3568</v>
      </c>
      <c r="G1139" s="17"/>
      <c r="H1139" s="25"/>
      <c r="I1139" s="70"/>
      <c r="J1139" s="71"/>
      <c r="K1139" s="72"/>
      <c r="L1139" s="73"/>
      <c r="M1139" s="74"/>
      <c r="N1139" s="44"/>
      <c r="O1139" s="25"/>
      <c r="P1139" s="34"/>
    </row>
    <row r="1140" spans="2:16" ht="27.75" customHeight="1">
      <c r="B1140" s="25">
        <f t="shared" si="17"/>
        <v>1109</v>
      </c>
      <c r="C1140" s="42" t="s">
        <v>1233</v>
      </c>
      <c r="D1140" s="17" t="s">
        <v>1233</v>
      </c>
      <c r="E1140" s="179" t="e">
        <f>VLOOKUP(C1140,#REF!,3,0)</f>
        <v>#REF!</v>
      </c>
      <c r="F1140" s="235" t="s">
        <v>3569</v>
      </c>
      <c r="G1140" s="17"/>
      <c r="H1140" s="25"/>
      <c r="I1140" s="70"/>
      <c r="J1140" s="71"/>
      <c r="K1140" s="72"/>
      <c r="L1140" s="73"/>
      <c r="M1140" s="74"/>
      <c r="N1140" s="44"/>
      <c r="O1140" s="25"/>
      <c r="P1140" s="34"/>
    </row>
    <row r="1141" spans="2:16" ht="27.75" customHeight="1">
      <c r="B1141" s="25">
        <f t="shared" si="17"/>
        <v>1110</v>
      </c>
      <c r="C1141" s="42" t="s">
        <v>1214</v>
      </c>
      <c r="D1141" s="17" t="s">
        <v>1214</v>
      </c>
      <c r="E1141" s="179" t="e">
        <f>VLOOKUP(C1141,#REF!,3,0)</f>
        <v>#REF!</v>
      </c>
      <c r="F1141" s="235" t="s">
        <v>3570</v>
      </c>
      <c r="G1141" s="17"/>
      <c r="H1141" s="25"/>
      <c r="I1141" s="70"/>
      <c r="J1141" s="71"/>
      <c r="K1141" s="72"/>
      <c r="L1141" s="73"/>
      <c r="M1141" s="74"/>
      <c r="N1141" s="44"/>
      <c r="O1141" s="25"/>
      <c r="P1141" s="34"/>
    </row>
    <row r="1142" spans="2:16" ht="27.75" customHeight="1">
      <c r="B1142" s="25">
        <f t="shared" si="17"/>
        <v>1111</v>
      </c>
      <c r="C1142" s="42" t="s">
        <v>1216</v>
      </c>
      <c r="D1142" s="17" t="s">
        <v>1216</v>
      </c>
      <c r="E1142" s="179" t="e">
        <f>VLOOKUP(C1142,#REF!,3,0)</f>
        <v>#REF!</v>
      </c>
      <c r="F1142" s="235" t="s">
        <v>3571</v>
      </c>
      <c r="G1142" s="17"/>
      <c r="H1142" s="25"/>
      <c r="I1142" s="70"/>
      <c r="J1142" s="71"/>
      <c r="K1142" s="72"/>
      <c r="L1142" s="73"/>
      <c r="M1142" s="74"/>
      <c r="N1142" s="44"/>
      <c r="O1142" s="25"/>
      <c r="P1142" s="34"/>
    </row>
    <row r="1143" spans="2:16" ht="27.75" customHeight="1">
      <c r="B1143" s="25">
        <f t="shared" si="17"/>
        <v>1112</v>
      </c>
      <c r="C1143" s="42" t="s">
        <v>1225</v>
      </c>
      <c r="D1143" s="17" t="s">
        <v>1225</v>
      </c>
      <c r="E1143" s="179" t="e">
        <f>VLOOKUP(C1143,#REF!,3,0)</f>
        <v>#REF!</v>
      </c>
      <c r="F1143" s="235" t="s">
        <v>3572</v>
      </c>
      <c r="G1143" s="17"/>
      <c r="H1143" s="25"/>
      <c r="I1143" s="70"/>
      <c r="J1143" s="71"/>
      <c r="K1143" s="72"/>
      <c r="L1143" s="73"/>
      <c r="M1143" s="74"/>
      <c r="N1143" s="44"/>
      <c r="O1143" s="25"/>
      <c r="P1143" s="34"/>
    </row>
    <row r="1144" spans="2:16" ht="27.75" customHeight="1">
      <c r="B1144" s="25">
        <f t="shared" si="17"/>
        <v>1113</v>
      </c>
      <c r="C1144" s="42" t="s">
        <v>1228</v>
      </c>
      <c r="D1144" s="17" t="s">
        <v>1228</v>
      </c>
      <c r="E1144" s="179" t="e">
        <f>VLOOKUP(C1144,#REF!,3,0)</f>
        <v>#REF!</v>
      </c>
      <c r="F1144" s="235" t="s">
        <v>3573</v>
      </c>
      <c r="G1144" s="17"/>
      <c r="H1144" s="25"/>
      <c r="I1144" s="70"/>
      <c r="J1144" s="71"/>
      <c r="K1144" s="72"/>
      <c r="L1144" s="73"/>
      <c r="M1144" s="74"/>
      <c r="N1144" s="44"/>
      <c r="O1144" s="25"/>
      <c r="P1144" s="34"/>
    </row>
    <row r="1145" spans="2:16" ht="27.75" customHeight="1">
      <c r="B1145" s="25">
        <f t="shared" si="17"/>
        <v>1114</v>
      </c>
      <c r="C1145" s="42" t="s">
        <v>1223</v>
      </c>
      <c r="D1145" s="17" t="s">
        <v>1223</v>
      </c>
      <c r="E1145" s="179" t="e">
        <f>VLOOKUP(C1145,#REF!,3,0)</f>
        <v>#REF!</v>
      </c>
      <c r="F1145" s="235" t="s">
        <v>3574</v>
      </c>
      <c r="G1145" s="17"/>
      <c r="H1145" s="25"/>
      <c r="I1145" s="70"/>
      <c r="J1145" s="71"/>
      <c r="K1145" s="72"/>
      <c r="L1145" s="73"/>
      <c r="M1145" s="74"/>
      <c r="N1145" s="44"/>
      <c r="O1145" s="25"/>
      <c r="P1145" s="34"/>
    </row>
    <row r="1146" spans="2:16" ht="27.75" customHeight="1">
      <c r="B1146" s="25">
        <f t="shared" si="17"/>
        <v>1115</v>
      </c>
      <c r="C1146" s="42" t="s">
        <v>1229</v>
      </c>
      <c r="D1146" s="17" t="s">
        <v>1229</v>
      </c>
      <c r="E1146" s="179" t="e">
        <f>VLOOKUP(C1146,#REF!,3,0)</f>
        <v>#REF!</v>
      </c>
      <c r="F1146" s="235" t="s">
        <v>3575</v>
      </c>
      <c r="G1146" s="17"/>
      <c r="H1146" s="25"/>
      <c r="I1146" s="70"/>
      <c r="J1146" s="71"/>
      <c r="K1146" s="72"/>
      <c r="L1146" s="73"/>
      <c r="M1146" s="74"/>
      <c r="N1146" s="44"/>
      <c r="O1146" s="25"/>
      <c r="P1146" s="34"/>
    </row>
    <row r="1147" spans="2:16" ht="27.75" customHeight="1">
      <c r="B1147" s="25">
        <f t="shared" si="17"/>
        <v>1116</v>
      </c>
      <c r="C1147" s="42" t="s">
        <v>1232</v>
      </c>
      <c r="D1147" s="17" t="s">
        <v>1232</v>
      </c>
      <c r="E1147" s="179" t="e">
        <f>VLOOKUP(C1147,#REF!,3,0)</f>
        <v>#REF!</v>
      </c>
      <c r="F1147" s="236" t="s">
        <v>3593</v>
      </c>
      <c r="G1147" s="17"/>
      <c r="H1147" s="25"/>
      <c r="I1147" s="70"/>
      <c r="J1147" s="71"/>
      <c r="K1147" s="72"/>
      <c r="L1147" s="73"/>
      <c r="M1147" s="74"/>
      <c r="N1147" s="44"/>
      <c r="O1147" s="25"/>
      <c r="P1147" s="34"/>
    </row>
    <row r="1148" spans="2:16" ht="27.75" customHeight="1">
      <c r="B1148" s="25">
        <f t="shared" si="17"/>
        <v>1117</v>
      </c>
      <c r="C1148" s="42" t="s">
        <v>1221</v>
      </c>
      <c r="D1148" s="17" t="s">
        <v>1221</v>
      </c>
      <c r="E1148" s="179" t="e">
        <f>VLOOKUP(C1148,#REF!,3,0)</f>
        <v>#REF!</v>
      </c>
      <c r="F1148" s="235" t="s">
        <v>3576</v>
      </c>
      <c r="G1148" s="17"/>
      <c r="H1148" s="25"/>
      <c r="I1148" s="70"/>
      <c r="J1148" s="71"/>
      <c r="K1148" s="72"/>
      <c r="L1148" s="73"/>
      <c r="M1148" s="74"/>
      <c r="N1148" s="44"/>
      <c r="O1148" s="25"/>
      <c r="P1148" s="34"/>
    </row>
    <row r="1149" spans="2:16" ht="27.75" customHeight="1">
      <c r="B1149" s="25">
        <f t="shared" si="17"/>
        <v>1118</v>
      </c>
      <c r="C1149" s="42" t="s">
        <v>3577</v>
      </c>
      <c r="D1149" s="17" t="s">
        <v>3577</v>
      </c>
      <c r="E1149" s="179" t="e">
        <f>VLOOKUP(C1149,#REF!,3,0)</f>
        <v>#REF!</v>
      </c>
      <c r="F1149" s="235" t="s">
        <v>1597</v>
      </c>
      <c r="G1149" s="17"/>
      <c r="H1149" s="25"/>
      <c r="I1149" s="70"/>
      <c r="J1149" s="71"/>
      <c r="K1149" s="72"/>
      <c r="L1149" s="73"/>
      <c r="M1149" s="74"/>
      <c r="N1149" s="44"/>
      <c r="O1149" s="25"/>
      <c r="P1149" s="34"/>
    </row>
    <row r="1150" spans="2:16" ht="27.75" customHeight="1">
      <c r="B1150" s="25">
        <f t="shared" si="17"/>
        <v>1119</v>
      </c>
      <c r="C1150" s="42" t="s">
        <v>3578</v>
      </c>
      <c r="D1150" s="17" t="s">
        <v>3578</v>
      </c>
      <c r="E1150" s="179" t="e">
        <f>VLOOKUP(C1150,#REF!,3,0)</f>
        <v>#REF!</v>
      </c>
      <c r="F1150" s="235" t="s">
        <v>1607</v>
      </c>
      <c r="G1150" s="17"/>
      <c r="H1150" s="25"/>
      <c r="I1150" s="70"/>
      <c r="J1150" s="71"/>
      <c r="K1150" s="72"/>
      <c r="L1150" s="73"/>
      <c r="M1150" s="74"/>
      <c r="N1150" s="44"/>
      <c r="O1150" s="25"/>
      <c r="P1150" s="34"/>
    </row>
    <row r="1151" spans="2:16" ht="27.75" customHeight="1">
      <c r="B1151" s="25">
        <f t="shared" si="17"/>
        <v>1120</v>
      </c>
      <c r="C1151" s="42" t="s">
        <v>3342</v>
      </c>
      <c r="D1151" s="17" t="s">
        <v>3342</v>
      </c>
      <c r="E1151" s="179" t="e">
        <f>VLOOKUP(C1151,#REF!,3,0)</f>
        <v>#REF!</v>
      </c>
      <c r="F1151" s="235" t="s">
        <v>3579</v>
      </c>
      <c r="G1151" s="17"/>
      <c r="H1151" s="25"/>
      <c r="I1151" s="70"/>
      <c r="J1151" s="71"/>
      <c r="K1151" s="72"/>
      <c r="L1151" s="73"/>
      <c r="M1151" s="74"/>
      <c r="N1151" s="44"/>
      <c r="O1151" s="25"/>
      <c r="P1151" s="34"/>
    </row>
    <row r="1152" spans="2:16" ht="27.75" customHeight="1">
      <c r="B1152" s="25">
        <f t="shared" si="17"/>
        <v>1121</v>
      </c>
      <c r="C1152" s="42" t="s">
        <v>1222</v>
      </c>
      <c r="D1152" s="17" t="s">
        <v>1222</v>
      </c>
      <c r="E1152" s="179" t="e">
        <f>VLOOKUP(C1152,#REF!,3,0)</f>
        <v>#REF!</v>
      </c>
      <c r="F1152" s="235" t="s">
        <v>3580</v>
      </c>
      <c r="G1152" s="17"/>
      <c r="H1152" s="25"/>
      <c r="I1152" s="70"/>
      <c r="J1152" s="71"/>
      <c r="K1152" s="72"/>
      <c r="L1152" s="73"/>
      <c r="M1152" s="74"/>
      <c r="N1152" s="44"/>
      <c r="O1152" s="25"/>
      <c r="P1152" s="34"/>
    </row>
    <row r="1153" spans="2:16" ht="27.75" customHeight="1">
      <c r="B1153" s="25">
        <f t="shared" si="17"/>
        <v>1122</v>
      </c>
      <c r="C1153" s="42" t="s">
        <v>1231</v>
      </c>
      <c r="D1153" s="17" t="s">
        <v>1231</v>
      </c>
      <c r="E1153" s="179" t="s">
        <v>3587</v>
      </c>
      <c r="F1153" s="235" t="s">
        <v>3581</v>
      </c>
      <c r="G1153" s="17"/>
      <c r="H1153" s="25"/>
      <c r="I1153" s="70"/>
      <c r="J1153" s="71"/>
      <c r="K1153" s="72"/>
      <c r="L1153" s="73"/>
      <c r="M1153" s="74"/>
      <c r="N1153" s="44"/>
      <c r="O1153" s="25"/>
      <c r="P1153" s="34"/>
    </row>
    <row r="1154" spans="2:16" ht="27.75" customHeight="1">
      <c r="B1154" s="25">
        <f t="shared" si="17"/>
        <v>1123</v>
      </c>
      <c r="C1154" s="42" t="s">
        <v>1226</v>
      </c>
      <c r="D1154" s="17" t="s">
        <v>1226</v>
      </c>
      <c r="E1154" s="179" t="s">
        <v>3586</v>
      </c>
      <c r="F1154" s="236" t="s">
        <v>3583</v>
      </c>
      <c r="G1154" s="17"/>
      <c r="H1154" s="25"/>
      <c r="I1154" s="70"/>
      <c r="J1154" s="71"/>
      <c r="K1154" s="72"/>
      <c r="L1154" s="73"/>
      <c r="M1154" s="74"/>
      <c r="N1154" s="44"/>
      <c r="O1154" s="25"/>
      <c r="P1154" s="34"/>
    </row>
    <row r="1155" spans="2:16" ht="27.75" customHeight="1">
      <c r="B1155" s="25">
        <f t="shared" si="17"/>
        <v>1124</v>
      </c>
      <c r="C1155" s="42" t="s">
        <v>3582</v>
      </c>
      <c r="D1155" s="17" t="s">
        <v>3582</v>
      </c>
      <c r="E1155" s="179" t="s">
        <v>3585</v>
      </c>
      <c r="F1155" s="236" t="s">
        <v>3584</v>
      </c>
      <c r="G1155" s="17"/>
      <c r="H1155" s="25"/>
      <c r="I1155" s="70"/>
      <c r="J1155" s="71"/>
      <c r="K1155" s="72"/>
      <c r="L1155" s="73"/>
      <c r="M1155" s="74"/>
      <c r="N1155" s="44"/>
      <c r="O1155" s="25"/>
      <c r="P1155" s="34"/>
    </row>
    <row r="1156" spans="2:16" ht="27.75" customHeight="1">
      <c r="B1156" s="25">
        <f t="shared" si="17"/>
        <v>1125</v>
      </c>
      <c r="C1156" s="42" t="s">
        <v>3590</v>
      </c>
      <c r="D1156" s="17" t="s">
        <v>3590</v>
      </c>
      <c r="E1156" s="179"/>
      <c r="F1156" s="236" t="s">
        <v>3591</v>
      </c>
      <c r="G1156" s="17"/>
      <c r="H1156" s="25"/>
      <c r="I1156" s="70"/>
      <c r="J1156" s="71"/>
      <c r="K1156" s="72"/>
      <c r="L1156" s="73"/>
      <c r="M1156" s="74"/>
      <c r="N1156" s="44"/>
      <c r="O1156" s="25"/>
      <c r="P1156" s="34"/>
    </row>
    <row r="1157" spans="2:16" ht="27.75" customHeight="1">
      <c r="B1157" s="25">
        <f t="shared" si="17"/>
        <v>1126</v>
      </c>
      <c r="C1157" s="42" t="s">
        <v>3592</v>
      </c>
      <c r="D1157" s="17" t="s">
        <v>3592</v>
      </c>
      <c r="E1157" s="179"/>
      <c r="F1157" s="236" t="s">
        <v>3595</v>
      </c>
      <c r="G1157" s="17"/>
      <c r="H1157" s="25"/>
      <c r="I1157" s="70"/>
      <c r="J1157" s="71"/>
      <c r="K1157" s="72"/>
      <c r="L1157" s="73"/>
      <c r="M1157" s="74"/>
      <c r="N1157" s="44"/>
      <c r="O1157" s="25"/>
      <c r="P1157" s="34"/>
    </row>
    <row r="1158" spans="2:16" ht="27.75" customHeight="1">
      <c r="B1158" s="25">
        <f t="shared" si="17"/>
        <v>1127</v>
      </c>
      <c r="C1158" s="42" t="s">
        <v>3596</v>
      </c>
      <c r="D1158" s="17" t="s">
        <v>3596</v>
      </c>
      <c r="E1158" s="179"/>
      <c r="F1158" s="235" t="s">
        <v>3597</v>
      </c>
      <c r="G1158" s="17"/>
      <c r="H1158" s="25"/>
      <c r="I1158" s="70"/>
      <c r="J1158" s="71"/>
      <c r="K1158" s="72"/>
      <c r="L1158" s="73"/>
      <c r="M1158" s="74"/>
      <c r="N1158" s="44"/>
      <c r="O1158" s="25"/>
      <c r="P1158" s="34"/>
    </row>
    <row r="1159" spans="2:16" ht="27.75" customHeight="1">
      <c r="B1159" s="25">
        <f t="shared" ref="B1159:B1222" si="18">B1158+1</f>
        <v>1128</v>
      </c>
      <c r="C1159" s="42" t="s">
        <v>3598</v>
      </c>
      <c r="D1159" s="17" t="s">
        <v>3598</v>
      </c>
      <c r="E1159" s="179"/>
      <c r="F1159" s="235" t="s">
        <v>3599</v>
      </c>
      <c r="G1159" s="17"/>
      <c r="H1159" s="25"/>
      <c r="I1159" s="70"/>
      <c r="J1159" s="71"/>
      <c r="K1159" s="72"/>
      <c r="L1159" s="73"/>
      <c r="M1159" s="74"/>
      <c r="N1159" s="44"/>
      <c r="O1159" s="25"/>
      <c r="P1159" s="34"/>
    </row>
    <row r="1160" spans="2:16" ht="27.75" customHeight="1">
      <c r="B1160" s="25">
        <f t="shared" si="18"/>
        <v>1129</v>
      </c>
      <c r="C1160" s="42" t="s">
        <v>3600</v>
      </c>
      <c r="D1160" s="17" t="s">
        <v>3600</v>
      </c>
      <c r="E1160" s="179"/>
      <c r="F1160" s="235" t="s">
        <v>3603</v>
      </c>
      <c r="G1160" s="17"/>
      <c r="H1160" s="25"/>
      <c r="I1160" s="70"/>
      <c r="J1160" s="71"/>
      <c r="K1160" s="72"/>
      <c r="L1160" s="73"/>
      <c r="M1160" s="74"/>
      <c r="N1160" s="44"/>
      <c r="O1160" s="25"/>
      <c r="P1160" s="34"/>
    </row>
    <row r="1161" spans="2:16" ht="27.75" customHeight="1">
      <c r="B1161" s="25">
        <f t="shared" si="18"/>
        <v>1130</v>
      </c>
      <c r="C1161" s="42" t="s">
        <v>3601</v>
      </c>
      <c r="D1161" s="17" t="s">
        <v>3601</v>
      </c>
      <c r="E1161" s="179"/>
      <c r="F1161" s="235" t="s">
        <v>3604</v>
      </c>
      <c r="G1161" s="17"/>
      <c r="H1161" s="25"/>
      <c r="I1161" s="70"/>
      <c r="J1161" s="71"/>
      <c r="K1161" s="72"/>
      <c r="L1161" s="73"/>
      <c r="M1161" s="74"/>
      <c r="N1161" s="44"/>
      <c r="O1161" s="25"/>
      <c r="P1161" s="34"/>
    </row>
    <row r="1162" spans="2:16" ht="27.75" customHeight="1">
      <c r="B1162" s="25">
        <f t="shared" si="18"/>
        <v>1131</v>
      </c>
      <c r="C1162" s="42" t="s">
        <v>3602</v>
      </c>
      <c r="D1162" s="17" t="s">
        <v>3602</v>
      </c>
      <c r="E1162" s="179"/>
      <c r="F1162" s="235" t="s">
        <v>3605</v>
      </c>
      <c r="G1162" s="17"/>
      <c r="H1162" s="25"/>
      <c r="I1162" s="70"/>
      <c r="J1162" s="71"/>
      <c r="K1162" s="72"/>
      <c r="L1162" s="73"/>
      <c r="M1162" s="74"/>
      <c r="N1162" s="44"/>
      <c r="O1162" s="25"/>
      <c r="P1162" s="34"/>
    </row>
    <row r="1163" spans="2:16" ht="27.75" customHeight="1">
      <c r="B1163" s="25">
        <f t="shared" si="18"/>
        <v>1132</v>
      </c>
      <c r="C1163" s="42" t="s">
        <v>3606</v>
      </c>
      <c r="D1163" s="17" t="s">
        <v>3606</v>
      </c>
      <c r="E1163" s="179"/>
      <c r="F1163" s="235" t="s">
        <v>3608</v>
      </c>
      <c r="G1163" s="17"/>
      <c r="H1163" s="25"/>
      <c r="I1163" s="70"/>
      <c r="J1163" s="71"/>
      <c r="K1163" s="72"/>
      <c r="L1163" s="73"/>
      <c r="M1163" s="74"/>
      <c r="N1163" s="44"/>
      <c r="O1163" s="25"/>
      <c r="P1163" s="34"/>
    </row>
    <row r="1164" spans="2:16" ht="27.75" customHeight="1">
      <c r="B1164" s="25">
        <f t="shared" si="18"/>
        <v>1133</v>
      </c>
      <c r="C1164" s="42" t="s">
        <v>3607</v>
      </c>
      <c r="D1164" s="17" t="s">
        <v>3607</v>
      </c>
      <c r="E1164" s="179"/>
      <c r="F1164" s="235" t="s">
        <v>3609</v>
      </c>
      <c r="G1164" s="17"/>
      <c r="H1164" s="25"/>
      <c r="I1164" s="70"/>
      <c r="J1164" s="71"/>
      <c r="K1164" s="72"/>
      <c r="L1164" s="73"/>
      <c r="M1164" s="74"/>
      <c r="N1164" s="44"/>
      <c r="O1164" s="25"/>
      <c r="P1164" s="34"/>
    </row>
    <row r="1165" spans="2:16" ht="27.75" customHeight="1">
      <c r="B1165" s="25">
        <f t="shared" si="18"/>
        <v>1134</v>
      </c>
      <c r="C1165" s="42" t="s">
        <v>3617</v>
      </c>
      <c r="D1165" s="17" t="s">
        <v>3617</v>
      </c>
      <c r="E1165" s="179"/>
      <c r="F1165" s="235" t="s">
        <v>3672</v>
      </c>
      <c r="G1165" s="17"/>
      <c r="H1165" s="25"/>
      <c r="I1165" s="70"/>
      <c r="J1165" s="71"/>
      <c r="K1165" s="72"/>
      <c r="L1165" s="73"/>
      <c r="M1165" s="74"/>
      <c r="N1165" s="44"/>
      <c r="O1165" s="25"/>
      <c r="P1165" s="34"/>
    </row>
    <row r="1166" spans="2:16" ht="27.75" customHeight="1">
      <c r="B1166" s="25">
        <f t="shared" si="18"/>
        <v>1135</v>
      </c>
      <c r="C1166" s="42" t="s">
        <v>3623</v>
      </c>
      <c r="D1166" s="17" t="s">
        <v>3623</v>
      </c>
      <c r="E1166" s="179"/>
      <c r="F1166" s="236" t="s">
        <v>3671</v>
      </c>
      <c r="G1166" s="17"/>
      <c r="H1166" s="25"/>
      <c r="I1166" s="70"/>
      <c r="J1166" s="71"/>
      <c r="K1166" s="72"/>
      <c r="L1166" s="73"/>
      <c r="M1166" s="74"/>
      <c r="N1166" s="44"/>
      <c r="O1166" s="25"/>
      <c r="P1166" s="34"/>
    </row>
    <row r="1167" spans="2:16" ht="27.75" customHeight="1">
      <c r="B1167" s="25">
        <f t="shared" si="18"/>
        <v>1136</v>
      </c>
      <c r="C1167" s="42" t="s">
        <v>3619</v>
      </c>
      <c r="D1167" s="17" t="s">
        <v>3619</v>
      </c>
      <c r="E1167" s="179"/>
      <c r="F1167" s="236" t="s">
        <v>3670</v>
      </c>
      <c r="G1167" s="17"/>
      <c r="H1167" s="25"/>
      <c r="I1167" s="70"/>
      <c r="J1167" s="71"/>
      <c r="K1167" s="72"/>
      <c r="L1167" s="73"/>
      <c r="M1167" s="74"/>
      <c r="N1167" s="44"/>
      <c r="O1167" s="25"/>
      <c r="P1167" s="34"/>
    </row>
    <row r="1168" spans="2:16" ht="27.75" customHeight="1">
      <c r="B1168" s="25">
        <f t="shared" si="18"/>
        <v>1137</v>
      </c>
      <c r="C1168" s="42" t="s">
        <v>3621</v>
      </c>
      <c r="D1168" s="17" t="s">
        <v>3621</v>
      </c>
      <c r="E1168" s="179"/>
      <c r="F1168" s="236" t="s">
        <v>3669</v>
      </c>
      <c r="G1168" s="17"/>
      <c r="H1168" s="25"/>
      <c r="I1168" s="70"/>
      <c r="J1168" s="71"/>
      <c r="K1168" s="72"/>
      <c r="L1168" s="73"/>
      <c r="M1168" s="74"/>
      <c r="N1168" s="44"/>
      <c r="O1168" s="25"/>
      <c r="P1168" s="34"/>
    </row>
    <row r="1169" spans="2:16" ht="27.75" customHeight="1">
      <c r="B1169" s="25">
        <f t="shared" si="18"/>
        <v>1138</v>
      </c>
      <c r="C1169" s="42" t="s">
        <v>3658</v>
      </c>
      <c r="D1169" s="17" t="s">
        <v>3658</v>
      </c>
      <c r="E1169" s="179"/>
      <c r="F1169" s="236" t="s">
        <v>3668</v>
      </c>
      <c r="G1169" s="17"/>
      <c r="H1169" s="25"/>
      <c r="I1169" s="70"/>
      <c r="J1169" s="71"/>
      <c r="K1169" s="72"/>
      <c r="L1169" s="73"/>
      <c r="M1169" s="74"/>
      <c r="N1169" s="44"/>
      <c r="O1169" s="25"/>
      <c r="P1169" s="34"/>
    </row>
    <row r="1170" spans="2:16" ht="27.75" customHeight="1">
      <c r="B1170" s="25">
        <f t="shared" si="18"/>
        <v>1139</v>
      </c>
      <c r="C1170" s="42" t="s">
        <v>3620</v>
      </c>
      <c r="D1170" s="17" t="s">
        <v>3620</v>
      </c>
      <c r="E1170" s="179"/>
      <c r="F1170" s="235" t="s">
        <v>3667</v>
      </c>
      <c r="G1170" s="17"/>
      <c r="H1170" s="25"/>
      <c r="I1170" s="70"/>
      <c r="J1170" s="71"/>
      <c r="K1170" s="72"/>
      <c r="L1170" s="73"/>
      <c r="M1170" s="74"/>
      <c r="N1170" s="44"/>
      <c r="O1170" s="25"/>
      <c r="P1170" s="34"/>
    </row>
    <row r="1171" spans="2:16" ht="27.75" customHeight="1">
      <c r="B1171" s="25">
        <f t="shared" si="18"/>
        <v>1140</v>
      </c>
      <c r="C1171" s="42" t="s">
        <v>3626</v>
      </c>
      <c r="D1171" s="17" t="s">
        <v>3626</v>
      </c>
      <c r="E1171" s="179"/>
      <c r="F1171" s="236" t="s">
        <v>3666</v>
      </c>
      <c r="G1171" s="17"/>
      <c r="H1171" s="25"/>
      <c r="I1171" s="70"/>
      <c r="J1171" s="71"/>
      <c r="K1171" s="72"/>
      <c r="L1171" s="73"/>
      <c r="M1171" s="74"/>
      <c r="N1171" s="44"/>
      <c r="O1171" s="25"/>
      <c r="P1171" s="34"/>
    </row>
    <row r="1172" spans="2:16" ht="27.75" customHeight="1">
      <c r="B1172" s="25">
        <f t="shared" si="18"/>
        <v>1141</v>
      </c>
      <c r="C1172" s="42" t="s">
        <v>3612</v>
      </c>
      <c r="D1172" s="17" t="s">
        <v>3612</v>
      </c>
      <c r="E1172" s="179"/>
      <c r="F1172" s="236" t="s">
        <v>3665</v>
      </c>
      <c r="G1172" s="17"/>
      <c r="H1172" s="25"/>
      <c r="I1172" s="70"/>
      <c r="J1172" s="71"/>
      <c r="K1172" s="72"/>
      <c r="L1172" s="73"/>
      <c r="M1172" s="74"/>
      <c r="N1172" s="44"/>
      <c r="O1172" s="25"/>
      <c r="P1172" s="34"/>
    </row>
    <row r="1173" spans="2:16" ht="27.75" customHeight="1">
      <c r="B1173" s="25">
        <f t="shared" si="18"/>
        <v>1142</v>
      </c>
      <c r="C1173" s="42" t="s">
        <v>3616</v>
      </c>
      <c r="D1173" s="17" t="s">
        <v>3616</v>
      </c>
      <c r="E1173" s="179"/>
      <c r="F1173" s="235" t="s">
        <v>3664</v>
      </c>
      <c r="G1173" s="17"/>
      <c r="H1173" s="25"/>
      <c r="I1173" s="70"/>
      <c r="J1173" s="71"/>
      <c r="K1173" s="72"/>
      <c r="L1173" s="73"/>
      <c r="M1173" s="74"/>
      <c r="N1173" s="44"/>
      <c r="O1173" s="25"/>
      <c r="P1173" s="34"/>
    </row>
    <row r="1174" spans="2:16" ht="27.75" customHeight="1">
      <c r="B1174" s="25">
        <f t="shared" si="18"/>
        <v>1143</v>
      </c>
      <c r="C1174" s="42" t="s">
        <v>3622</v>
      </c>
      <c r="D1174" s="17" t="s">
        <v>3622</v>
      </c>
      <c r="E1174" s="179"/>
      <c r="F1174" s="235" t="s">
        <v>3673</v>
      </c>
      <c r="G1174" s="17"/>
      <c r="H1174" s="25"/>
      <c r="I1174" s="70"/>
      <c r="J1174" s="71"/>
      <c r="K1174" s="72"/>
      <c r="L1174" s="73"/>
      <c r="M1174" s="74"/>
      <c r="N1174" s="44"/>
      <c r="O1174" s="25"/>
      <c r="P1174" s="34"/>
    </row>
    <row r="1175" spans="2:16" ht="27.75" customHeight="1">
      <c r="B1175" s="25">
        <f t="shared" si="18"/>
        <v>1144</v>
      </c>
      <c r="C1175" s="42" t="s">
        <v>3662</v>
      </c>
      <c r="D1175" s="17" t="s">
        <v>3662</v>
      </c>
      <c r="E1175" s="179"/>
      <c r="F1175" s="235" t="s">
        <v>3674</v>
      </c>
      <c r="G1175" s="17"/>
      <c r="H1175" s="25"/>
      <c r="I1175" s="70"/>
      <c r="J1175" s="71"/>
      <c r="K1175" s="72"/>
      <c r="L1175" s="73"/>
      <c r="M1175" s="74"/>
      <c r="N1175" s="44"/>
      <c r="O1175" s="25"/>
      <c r="P1175" s="34"/>
    </row>
    <row r="1176" spans="2:16" ht="27.75" customHeight="1">
      <c r="B1176" s="25">
        <f t="shared" si="18"/>
        <v>1145</v>
      </c>
      <c r="C1176" s="42" t="s">
        <v>3663</v>
      </c>
      <c r="D1176" s="17" t="s">
        <v>3663</v>
      </c>
      <c r="E1176" s="179"/>
      <c r="F1176" s="235" t="s">
        <v>3675</v>
      </c>
      <c r="G1176" s="17"/>
      <c r="H1176" s="25"/>
      <c r="I1176" s="70"/>
      <c r="J1176" s="71"/>
      <c r="K1176" s="72"/>
      <c r="L1176" s="73"/>
      <c r="M1176" s="74"/>
      <c r="N1176" s="44"/>
      <c r="O1176" s="25"/>
      <c r="P1176" s="34"/>
    </row>
    <row r="1177" spans="2:16" ht="27.75" customHeight="1">
      <c r="B1177" s="25">
        <f t="shared" si="18"/>
        <v>1146</v>
      </c>
      <c r="C1177" s="42" t="s">
        <v>3657</v>
      </c>
      <c r="D1177" s="17" t="s">
        <v>3657</v>
      </c>
      <c r="E1177" s="179"/>
      <c r="F1177" s="235" t="s">
        <v>3676</v>
      </c>
      <c r="G1177" s="17"/>
      <c r="H1177" s="25"/>
      <c r="I1177" s="70"/>
      <c r="J1177" s="71"/>
      <c r="K1177" s="72"/>
      <c r="L1177" s="73"/>
      <c r="M1177" s="74"/>
      <c r="N1177" s="44"/>
      <c r="O1177" s="25"/>
      <c r="P1177" s="34"/>
    </row>
    <row r="1178" spans="2:16" ht="27.75" customHeight="1">
      <c r="B1178" s="25">
        <f t="shared" si="18"/>
        <v>1147</v>
      </c>
      <c r="C1178" s="42" t="s">
        <v>3618</v>
      </c>
      <c r="D1178" s="17" t="s">
        <v>3618</v>
      </c>
      <c r="E1178" s="179"/>
      <c r="F1178" s="235" t="s">
        <v>3677</v>
      </c>
      <c r="G1178" s="17"/>
      <c r="H1178" s="25"/>
      <c r="I1178" s="70"/>
      <c r="J1178" s="71"/>
      <c r="K1178" s="72"/>
      <c r="L1178" s="73"/>
      <c r="M1178" s="74"/>
      <c r="N1178" s="44"/>
      <c r="O1178" s="25"/>
      <c r="P1178" s="34"/>
    </row>
    <row r="1179" spans="2:16" ht="27.75" customHeight="1">
      <c r="B1179" s="25">
        <f t="shared" si="18"/>
        <v>1148</v>
      </c>
      <c r="C1179" s="42" t="s">
        <v>3659</v>
      </c>
      <c r="D1179" s="17" t="s">
        <v>3659</v>
      </c>
      <c r="E1179" s="179"/>
      <c r="F1179" s="235" t="s">
        <v>3678</v>
      </c>
      <c r="G1179" s="17"/>
      <c r="H1179" s="25"/>
      <c r="I1179" s="70"/>
      <c r="J1179" s="71"/>
      <c r="K1179" s="72"/>
      <c r="L1179" s="73"/>
      <c r="M1179" s="74"/>
      <c r="N1179" s="44"/>
      <c r="O1179" s="25"/>
      <c r="P1179" s="34"/>
    </row>
    <row r="1180" spans="2:16" ht="27.75" customHeight="1">
      <c r="B1180" s="25">
        <f t="shared" si="18"/>
        <v>1149</v>
      </c>
      <c r="C1180" s="42" t="s">
        <v>3660</v>
      </c>
      <c r="D1180" s="17" t="s">
        <v>3660</v>
      </c>
      <c r="E1180" s="179"/>
      <c r="F1180" s="235" t="s">
        <v>3679</v>
      </c>
      <c r="G1180" s="17"/>
      <c r="H1180" s="25"/>
      <c r="I1180" s="70"/>
      <c r="J1180" s="71"/>
      <c r="K1180" s="72"/>
      <c r="L1180" s="73"/>
      <c r="M1180" s="74"/>
      <c r="N1180" s="44"/>
      <c r="O1180" s="25"/>
      <c r="P1180" s="34"/>
    </row>
    <row r="1181" spans="2:16" ht="27.75" customHeight="1">
      <c r="B1181" s="25">
        <f t="shared" si="18"/>
        <v>1150</v>
      </c>
      <c r="C1181" s="42" t="s">
        <v>3610</v>
      </c>
      <c r="D1181" s="17" t="s">
        <v>3610</v>
      </c>
      <c r="E1181" s="179"/>
      <c r="F1181" s="235" t="s">
        <v>3680</v>
      </c>
      <c r="G1181" s="17"/>
      <c r="H1181" s="25"/>
      <c r="I1181" s="70"/>
      <c r="J1181" s="71"/>
      <c r="K1181" s="72"/>
      <c r="L1181" s="73"/>
      <c r="M1181" s="74"/>
      <c r="N1181" s="44"/>
      <c r="O1181" s="25"/>
      <c r="P1181" s="34"/>
    </row>
    <row r="1182" spans="2:16" ht="27.75" customHeight="1">
      <c r="B1182" s="25">
        <f t="shared" si="18"/>
        <v>1151</v>
      </c>
      <c r="C1182" s="42" t="s">
        <v>3615</v>
      </c>
      <c r="D1182" s="17" t="s">
        <v>3615</v>
      </c>
      <c r="E1182" s="179"/>
      <c r="F1182" s="235" t="s">
        <v>3681</v>
      </c>
      <c r="G1182" s="17"/>
      <c r="H1182" s="25"/>
      <c r="I1182" s="70"/>
      <c r="J1182" s="71"/>
      <c r="K1182" s="72"/>
      <c r="L1182" s="73"/>
      <c r="M1182" s="74"/>
      <c r="N1182" s="44"/>
      <c r="O1182" s="25"/>
      <c r="P1182" s="34"/>
    </row>
    <row r="1183" spans="2:16" ht="27.75" customHeight="1">
      <c r="B1183" s="25">
        <f t="shared" si="18"/>
        <v>1152</v>
      </c>
      <c r="C1183" s="42" t="s">
        <v>3613</v>
      </c>
      <c r="D1183" s="17" t="s">
        <v>3613</v>
      </c>
      <c r="E1183" s="179"/>
      <c r="F1183" s="235" t="s">
        <v>3682</v>
      </c>
      <c r="G1183" s="17"/>
      <c r="H1183" s="25"/>
      <c r="I1183" s="70"/>
      <c r="J1183" s="71"/>
      <c r="K1183" s="72"/>
      <c r="L1183" s="73"/>
      <c r="M1183" s="74"/>
      <c r="N1183" s="44"/>
      <c r="O1183" s="25"/>
      <c r="P1183" s="34"/>
    </row>
    <row r="1184" spans="2:16" ht="27.75" customHeight="1">
      <c r="B1184" s="25">
        <f t="shared" si="18"/>
        <v>1153</v>
      </c>
      <c r="C1184" s="42" t="s">
        <v>3661</v>
      </c>
      <c r="D1184" s="17" t="s">
        <v>3661</v>
      </c>
      <c r="E1184" s="179"/>
      <c r="F1184" s="235" t="s">
        <v>3683</v>
      </c>
      <c r="G1184" s="17"/>
      <c r="H1184" s="25"/>
      <c r="I1184" s="70"/>
      <c r="J1184" s="71"/>
      <c r="K1184" s="72"/>
      <c r="L1184" s="73"/>
      <c r="M1184" s="74"/>
      <c r="N1184" s="44"/>
      <c r="O1184" s="25"/>
      <c r="P1184" s="34"/>
    </row>
    <row r="1185" spans="2:16" ht="27.75" customHeight="1">
      <c r="B1185" s="25">
        <f t="shared" si="18"/>
        <v>1154</v>
      </c>
      <c r="C1185" s="42" t="s">
        <v>3624</v>
      </c>
      <c r="D1185" s="17" t="s">
        <v>3624</v>
      </c>
      <c r="E1185" s="179"/>
      <c r="F1185" s="235" t="s">
        <v>3684</v>
      </c>
      <c r="G1185" s="17"/>
      <c r="H1185" s="25"/>
      <c r="I1185" s="70"/>
      <c r="J1185" s="71"/>
      <c r="K1185" s="72"/>
      <c r="L1185" s="73"/>
      <c r="M1185" s="74"/>
      <c r="N1185" s="44"/>
      <c r="O1185" s="25"/>
      <c r="P1185" s="34"/>
    </row>
    <row r="1186" spans="2:16" ht="27.75" customHeight="1">
      <c r="B1186" s="25">
        <f t="shared" si="18"/>
        <v>1155</v>
      </c>
      <c r="C1186" s="42" t="s">
        <v>3659</v>
      </c>
      <c r="D1186" s="17" t="s">
        <v>3659</v>
      </c>
      <c r="E1186" s="179"/>
      <c r="F1186" s="235" t="s">
        <v>3678</v>
      </c>
      <c r="G1186" s="17"/>
      <c r="H1186" s="25"/>
      <c r="I1186" s="70"/>
      <c r="J1186" s="71"/>
      <c r="K1186" s="72"/>
      <c r="L1186" s="73"/>
      <c r="M1186" s="74"/>
      <c r="N1186" s="44"/>
      <c r="O1186" s="25"/>
      <c r="P1186" s="34"/>
    </row>
    <row r="1187" spans="2:16" ht="27.75" customHeight="1">
      <c r="B1187" s="25">
        <f t="shared" si="18"/>
        <v>1156</v>
      </c>
      <c r="C1187" s="42" t="s">
        <v>3614</v>
      </c>
      <c r="D1187" s="17" t="s">
        <v>3614</v>
      </c>
      <c r="E1187" s="179"/>
      <c r="F1187" s="235" t="s">
        <v>3685</v>
      </c>
      <c r="G1187" s="17"/>
      <c r="H1187" s="25"/>
      <c r="I1187" s="70"/>
      <c r="J1187" s="71"/>
      <c r="K1187" s="72"/>
      <c r="L1187" s="73"/>
      <c r="M1187" s="74"/>
      <c r="N1187" s="44"/>
      <c r="O1187" s="25"/>
      <c r="P1187" s="34"/>
    </row>
    <row r="1188" spans="2:16" ht="27.75" customHeight="1">
      <c r="B1188" s="25">
        <f t="shared" si="18"/>
        <v>1157</v>
      </c>
      <c r="C1188" s="42" t="s">
        <v>822</v>
      </c>
      <c r="D1188" s="17" t="s">
        <v>822</v>
      </c>
      <c r="E1188" s="179"/>
      <c r="F1188" s="235" t="s">
        <v>3222</v>
      </c>
      <c r="G1188" s="17"/>
      <c r="H1188" s="25"/>
      <c r="I1188" s="70"/>
      <c r="J1188" s="71"/>
      <c r="K1188" s="72"/>
      <c r="L1188" s="73"/>
      <c r="M1188" s="74"/>
      <c r="N1188" s="44"/>
      <c r="O1188" s="25"/>
      <c r="P1188" s="34"/>
    </row>
    <row r="1189" spans="2:16" ht="27.75" customHeight="1">
      <c r="B1189" s="25">
        <f t="shared" si="18"/>
        <v>1158</v>
      </c>
      <c r="C1189" s="42" t="s">
        <v>823</v>
      </c>
      <c r="D1189" s="17" t="s">
        <v>823</v>
      </c>
      <c r="E1189" s="179"/>
      <c r="F1189" s="235" t="s">
        <v>3224</v>
      </c>
      <c r="G1189" s="17"/>
      <c r="H1189" s="25"/>
      <c r="I1189" s="70"/>
      <c r="J1189" s="71"/>
      <c r="K1189" s="72"/>
      <c r="L1189" s="73"/>
      <c r="M1189" s="74"/>
      <c r="N1189" s="44"/>
      <c r="O1189" s="25"/>
      <c r="P1189" s="34"/>
    </row>
    <row r="1190" spans="2:16" ht="27.75" customHeight="1">
      <c r="B1190" s="25">
        <f t="shared" si="18"/>
        <v>1159</v>
      </c>
      <c r="C1190" s="42" t="s">
        <v>3625</v>
      </c>
      <c r="D1190" s="17" t="s">
        <v>3625</v>
      </c>
      <c r="E1190" s="179"/>
      <c r="F1190" s="235" t="s">
        <v>3686</v>
      </c>
      <c r="G1190" s="17"/>
      <c r="H1190" s="25"/>
      <c r="I1190" s="70"/>
      <c r="J1190" s="71"/>
      <c r="K1190" s="72"/>
      <c r="L1190" s="73"/>
      <c r="M1190" s="74"/>
      <c r="N1190" s="44"/>
      <c r="O1190" s="25"/>
      <c r="P1190" s="34"/>
    </row>
    <row r="1191" spans="2:16" ht="27.75" customHeight="1">
      <c r="B1191" s="25">
        <f t="shared" si="18"/>
        <v>1160</v>
      </c>
      <c r="C1191" s="42" t="s">
        <v>3611</v>
      </c>
      <c r="D1191" s="17" t="s">
        <v>3611</v>
      </c>
      <c r="E1191" s="179"/>
      <c r="F1191" s="235" t="s">
        <v>3687</v>
      </c>
      <c r="G1191" s="17"/>
      <c r="H1191" s="25"/>
      <c r="I1191" s="70"/>
      <c r="J1191" s="71"/>
      <c r="K1191" s="72"/>
      <c r="L1191" s="73"/>
      <c r="M1191" s="74"/>
      <c r="N1191" s="44"/>
      <c r="O1191" s="25"/>
      <c r="P1191" s="34"/>
    </row>
    <row r="1192" spans="2:16" ht="27.75" customHeight="1">
      <c r="B1192" s="25">
        <f t="shared" si="18"/>
        <v>1161</v>
      </c>
      <c r="C1192" s="42" t="s">
        <v>3656</v>
      </c>
      <c r="D1192" s="17" t="s">
        <v>3656</v>
      </c>
      <c r="E1192" s="179"/>
      <c r="F1192" s="235" t="s">
        <v>3688</v>
      </c>
      <c r="G1192" s="17"/>
      <c r="H1192" s="25"/>
      <c r="I1192" s="70"/>
      <c r="J1192" s="71"/>
      <c r="K1192" s="72"/>
      <c r="L1192" s="73"/>
      <c r="M1192" s="74"/>
      <c r="N1192" s="44"/>
      <c r="O1192" s="25"/>
      <c r="P1192" s="34"/>
    </row>
    <row r="1193" spans="2:16" ht="27.75" customHeight="1">
      <c r="B1193" s="25">
        <f t="shared" si="18"/>
        <v>1162</v>
      </c>
      <c r="C1193" s="42" t="s">
        <v>3692</v>
      </c>
      <c r="D1193" s="17" t="s">
        <v>3692</v>
      </c>
      <c r="E1193" s="179"/>
      <c r="F1193" s="235" t="s">
        <v>3693</v>
      </c>
      <c r="G1193" s="17"/>
      <c r="H1193" s="25"/>
      <c r="I1193" s="70"/>
      <c r="J1193" s="71"/>
      <c r="K1193" s="72"/>
      <c r="L1193" s="73"/>
      <c r="M1193" s="74"/>
      <c r="N1193" s="44"/>
      <c r="O1193" s="25"/>
      <c r="P1193" s="34"/>
    </row>
    <row r="1194" spans="2:16" ht="27.75" customHeight="1">
      <c r="B1194" s="25">
        <f t="shared" si="18"/>
        <v>1163</v>
      </c>
      <c r="C1194" s="42" t="s">
        <v>3694</v>
      </c>
      <c r="D1194" s="17" t="s">
        <v>3694</v>
      </c>
      <c r="E1194" s="179"/>
      <c r="F1194" s="235" t="s">
        <v>3695</v>
      </c>
      <c r="G1194" s="17"/>
      <c r="H1194" s="25"/>
      <c r="I1194" s="70"/>
      <c r="J1194" s="71"/>
      <c r="K1194" s="72"/>
      <c r="L1194" s="73"/>
      <c r="M1194" s="74"/>
      <c r="N1194" s="44"/>
      <c r="O1194" s="25"/>
      <c r="P1194" s="34"/>
    </row>
    <row r="1195" spans="2:16" ht="27.75" customHeight="1">
      <c r="B1195" s="25">
        <f t="shared" si="18"/>
        <v>1164</v>
      </c>
      <c r="C1195" s="42" t="s">
        <v>3691</v>
      </c>
      <c r="D1195" s="17" t="s">
        <v>3691</v>
      </c>
      <c r="E1195" s="179"/>
      <c r="F1195" s="235" t="s">
        <v>3696</v>
      </c>
      <c r="G1195" s="17"/>
      <c r="H1195" s="25"/>
      <c r="I1195" s="70"/>
      <c r="J1195" s="71"/>
      <c r="K1195" s="72"/>
      <c r="L1195" s="73"/>
      <c r="M1195" s="74"/>
      <c r="N1195" s="44"/>
      <c r="O1195" s="25"/>
      <c r="P1195" s="34"/>
    </row>
    <row r="1196" spans="2:16" ht="27.75" customHeight="1">
      <c r="B1196" s="25">
        <f t="shared" si="18"/>
        <v>1165</v>
      </c>
      <c r="C1196" s="42" t="s">
        <v>3697</v>
      </c>
      <c r="D1196" s="17" t="s">
        <v>3697</v>
      </c>
      <c r="E1196" s="179"/>
      <c r="F1196" s="235" t="s">
        <v>3698</v>
      </c>
      <c r="G1196" s="17"/>
      <c r="H1196" s="25"/>
      <c r="I1196" s="70"/>
      <c r="J1196" s="71"/>
      <c r="K1196" s="72"/>
      <c r="L1196" s="73"/>
      <c r="M1196" s="74"/>
      <c r="N1196" s="44"/>
      <c r="O1196" s="25"/>
      <c r="P1196" s="34"/>
    </row>
    <row r="1197" spans="2:16" ht="27.75" customHeight="1">
      <c r="B1197" s="25">
        <f t="shared" si="18"/>
        <v>1166</v>
      </c>
      <c r="C1197" s="42" t="s">
        <v>3700</v>
      </c>
      <c r="D1197" s="17" t="s">
        <v>3700</v>
      </c>
      <c r="E1197" s="179"/>
      <c r="F1197" s="235" t="s">
        <v>3699</v>
      </c>
      <c r="G1197" s="17"/>
      <c r="H1197" s="25"/>
      <c r="I1197" s="70"/>
      <c r="J1197" s="71"/>
      <c r="K1197" s="72"/>
      <c r="L1197" s="73"/>
      <c r="M1197" s="74"/>
      <c r="N1197" s="44"/>
      <c r="O1197" s="25"/>
      <c r="P1197" s="34"/>
    </row>
    <row r="1198" spans="2:16" ht="27.75" customHeight="1">
      <c r="B1198" s="25">
        <f t="shared" si="18"/>
        <v>1167</v>
      </c>
      <c r="C1198" s="42" t="s">
        <v>3701</v>
      </c>
      <c r="D1198" s="17" t="s">
        <v>3701</v>
      </c>
      <c r="E1198" s="179"/>
      <c r="F1198" s="235" t="s">
        <v>2176</v>
      </c>
      <c r="G1198" s="17"/>
      <c r="H1198" s="25"/>
      <c r="I1198" s="70"/>
      <c r="J1198" s="71"/>
      <c r="K1198" s="72"/>
      <c r="L1198" s="73"/>
      <c r="M1198" s="74"/>
      <c r="N1198" s="44"/>
      <c r="O1198" s="25"/>
      <c r="P1198" s="34"/>
    </row>
    <row r="1199" spans="2:16" ht="27.75" customHeight="1">
      <c r="B1199" s="25">
        <f t="shared" si="18"/>
        <v>1168</v>
      </c>
      <c r="C1199" s="42" t="s">
        <v>3704</v>
      </c>
      <c r="D1199" s="17" t="s">
        <v>3704</v>
      </c>
      <c r="E1199" s="179"/>
      <c r="F1199" s="179" t="s">
        <v>3703</v>
      </c>
      <c r="G1199" s="17"/>
      <c r="H1199" s="25"/>
      <c r="I1199" s="70"/>
      <c r="J1199" s="71"/>
      <c r="K1199" s="72"/>
      <c r="L1199" s="73"/>
      <c r="M1199" s="74"/>
      <c r="N1199" s="44"/>
      <c r="O1199" s="25"/>
      <c r="P1199" s="34"/>
    </row>
    <row r="1200" spans="2:16" ht="27.75" customHeight="1">
      <c r="B1200" s="25">
        <f t="shared" si="18"/>
        <v>1169</v>
      </c>
      <c r="C1200" s="42" t="s">
        <v>3710</v>
      </c>
      <c r="D1200" s="17" t="s">
        <v>3710</v>
      </c>
      <c r="E1200" s="179"/>
      <c r="F1200" s="179" t="s">
        <v>1778</v>
      </c>
      <c r="G1200" s="17"/>
      <c r="H1200" s="25"/>
      <c r="I1200" s="70"/>
      <c r="J1200" s="71"/>
      <c r="K1200" s="72"/>
      <c r="L1200" s="73"/>
      <c r="M1200" s="74"/>
      <c r="N1200" s="44"/>
      <c r="O1200" s="25"/>
      <c r="P1200" s="34"/>
    </row>
    <row r="1201" spans="2:16" ht="27.75" customHeight="1">
      <c r="B1201" s="25">
        <f t="shared" si="18"/>
        <v>1170</v>
      </c>
      <c r="C1201" s="42" t="s">
        <v>3709</v>
      </c>
      <c r="D1201" s="17" t="s">
        <v>3709</v>
      </c>
      <c r="E1201" s="179"/>
      <c r="F1201" s="179" t="s">
        <v>1781</v>
      </c>
      <c r="G1201" s="17"/>
      <c r="H1201" s="25"/>
      <c r="I1201" s="70"/>
      <c r="J1201" s="71"/>
      <c r="K1201" s="72"/>
      <c r="L1201" s="73"/>
      <c r="M1201" s="74"/>
      <c r="N1201" s="44"/>
      <c r="O1201" s="25"/>
      <c r="P1201" s="34"/>
    </row>
    <row r="1202" spans="2:16" ht="27.75" customHeight="1">
      <c r="B1202" s="25">
        <f t="shared" si="18"/>
        <v>1171</v>
      </c>
      <c r="C1202" s="42" t="s">
        <v>3713</v>
      </c>
      <c r="D1202" s="17" t="s">
        <v>3713</v>
      </c>
      <c r="E1202" s="25"/>
      <c r="F1202" s="205" t="s">
        <v>3715</v>
      </c>
      <c r="G1202" s="25"/>
      <c r="H1202" s="25"/>
      <c r="I1202" s="70"/>
      <c r="J1202" s="71"/>
      <c r="K1202" s="72"/>
      <c r="L1202" s="73"/>
      <c r="M1202" s="74"/>
      <c r="N1202" s="44"/>
      <c r="O1202" s="25"/>
      <c r="P1202" s="34"/>
    </row>
    <row r="1203" spans="2:16" ht="27.75" customHeight="1">
      <c r="B1203" s="25">
        <f t="shared" si="18"/>
        <v>1172</v>
      </c>
      <c r="C1203" s="42" t="s">
        <v>3714</v>
      </c>
      <c r="D1203" s="17" t="s">
        <v>3714</v>
      </c>
      <c r="E1203" s="25"/>
      <c r="F1203" s="205" t="s">
        <v>3716</v>
      </c>
      <c r="G1203" s="25"/>
      <c r="H1203" s="25"/>
      <c r="I1203" s="70"/>
      <c r="J1203" s="71"/>
      <c r="K1203" s="72"/>
      <c r="L1203" s="73"/>
      <c r="M1203" s="74"/>
      <c r="N1203" s="44"/>
      <c r="O1203" s="25"/>
      <c r="P1203" s="34"/>
    </row>
    <row r="1204" spans="2:16" ht="27.75" customHeight="1">
      <c r="B1204" s="25">
        <f t="shared" si="18"/>
        <v>1173</v>
      </c>
      <c r="C1204" s="42" t="s">
        <v>3711</v>
      </c>
      <c r="D1204" s="17" t="s">
        <v>3711</v>
      </c>
      <c r="E1204" s="25"/>
      <c r="F1204" s="205" t="s">
        <v>3718</v>
      </c>
      <c r="G1204" s="25"/>
      <c r="H1204" s="25"/>
      <c r="I1204" s="70"/>
      <c r="J1204" s="71"/>
      <c r="K1204" s="72"/>
      <c r="L1204" s="73"/>
      <c r="M1204" s="74"/>
      <c r="N1204" s="44"/>
      <c r="O1204" s="25"/>
      <c r="P1204" s="34"/>
    </row>
    <row r="1205" spans="2:16" ht="27.75" customHeight="1">
      <c r="B1205" s="25">
        <f t="shared" si="18"/>
        <v>1174</v>
      </c>
      <c r="C1205" s="42" t="s">
        <v>3712</v>
      </c>
      <c r="D1205" s="17" t="s">
        <v>3712</v>
      </c>
      <c r="E1205" s="25"/>
      <c r="F1205" s="205" t="s">
        <v>3719</v>
      </c>
      <c r="G1205" s="25"/>
      <c r="H1205" s="25"/>
      <c r="I1205" s="70"/>
      <c r="J1205" s="71"/>
      <c r="K1205" s="72"/>
      <c r="L1205" s="73"/>
      <c r="M1205" s="74"/>
      <c r="N1205" s="44"/>
      <c r="O1205" s="25"/>
      <c r="P1205" s="34"/>
    </row>
    <row r="1206" spans="2:16" ht="27.75" customHeight="1">
      <c r="B1206" s="25">
        <f t="shared" si="18"/>
        <v>1175</v>
      </c>
      <c r="C1206" s="42" t="s">
        <v>3717</v>
      </c>
      <c r="D1206" s="17" t="s">
        <v>3717</v>
      </c>
      <c r="E1206" s="25"/>
      <c r="F1206" s="205" t="s">
        <v>3720</v>
      </c>
    </row>
    <row r="1207" spans="2:16" ht="27.75" customHeight="1">
      <c r="B1207" s="25">
        <f t="shared" si="18"/>
        <v>1176</v>
      </c>
      <c r="C1207" s="42" t="s">
        <v>3724</v>
      </c>
      <c r="D1207" s="17" t="s">
        <v>3724</v>
      </c>
      <c r="E1207" s="25"/>
      <c r="F1207" s="234" t="s">
        <v>3725</v>
      </c>
    </row>
    <row r="1208" spans="2:16" ht="27.75" customHeight="1">
      <c r="B1208" s="25">
        <f t="shared" si="18"/>
        <v>1177</v>
      </c>
      <c r="C1208" s="42" t="s">
        <v>3723</v>
      </c>
      <c r="D1208" s="17" t="s">
        <v>3723</v>
      </c>
      <c r="F1208" s="205" t="s">
        <v>3726</v>
      </c>
    </row>
    <row r="1209" spans="2:16" ht="27.75" customHeight="1">
      <c r="B1209" s="25">
        <f t="shared" si="18"/>
        <v>1178</v>
      </c>
      <c r="C1209" s="42" t="s">
        <v>3729</v>
      </c>
      <c r="D1209" s="17" t="s">
        <v>3729</v>
      </c>
      <c r="F1209" s="234" t="s">
        <v>3730</v>
      </c>
    </row>
    <row r="1210" spans="2:16" ht="27.75" customHeight="1">
      <c r="B1210" s="25">
        <f t="shared" si="18"/>
        <v>1179</v>
      </c>
      <c r="C1210" s="42" t="s">
        <v>3728</v>
      </c>
      <c r="D1210" s="17" t="s">
        <v>3728</v>
      </c>
      <c r="E1210" s="179"/>
      <c r="F1210" s="205" t="s">
        <v>3731</v>
      </c>
    </row>
    <row r="1211" spans="2:16" ht="27.75" customHeight="1">
      <c r="B1211" s="25">
        <f t="shared" si="18"/>
        <v>1180</v>
      </c>
      <c r="C1211" s="42" t="s">
        <v>3727</v>
      </c>
      <c r="D1211" s="17" t="s">
        <v>3727</v>
      </c>
      <c r="E1211" s="25"/>
      <c r="F1211" s="234" t="s">
        <v>3732</v>
      </c>
    </row>
    <row r="1212" spans="2:16" ht="27.75" customHeight="1">
      <c r="B1212" s="25">
        <f t="shared" si="18"/>
        <v>1181</v>
      </c>
      <c r="C1212" s="42" t="s">
        <v>3735</v>
      </c>
      <c r="D1212" s="17" t="s">
        <v>3735</v>
      </c>
      <c r="E1212" s="179"/>
      <c r="F1212" s="234" t="s">
        <v>3732</v>
      </c>
    </row>
    <row r="1213" spans="2:16" ht="27.75" customHeight="1">
      <c r="B1213" s="25">
        <f t="shared" si="18"/>
        <v>1182</v>
      </c>
      <c r="C1213" s="42" t="s">
        <v>3736</v>
      </c>
      <c r="D1213" s="17" t="s">
        <v>3736</v>
      </c>
      <c r="E1213" s="25"/>
      <c r="F1213" s="234" t="s">
        <v>3742</v>
      </c>
    </row>
    <row r="1214" spans="2:16" ht="27.75" customHeight="1">
      <c r="B1214" s="25">
        <f t="shared" si="18"/>
        <v>1183</v>
      </c>
      <c r="C1214" s="42" t="s">
        <v>3734</v>
      </c>
      <c r="D1214" s="17" t="s">
        <v>3734</v>
      </c>
      <c r="E1214" s="179"/>
      <c r="F1214" s="205" t="s">
        <v>3743</v>
      </c>
    </row>
    <row r="1215" spans="2:16" ht="27.75" customHeight="1">
      <c r="B1215" s="25">
        <f t="shared" si="18"/>
        <v>1184</v>
      </c>
      <c r="C1215" s="42" t="s">
        <v>3733</v>
      </c>
      <c r="D1215" s="17" t="s">
        <v>3733</v>
      </c>
      <c r="E1215" s="25"/>
      <c r="F1215" s="234" t="s">
        <v>3732</v>
      </c>
    </row>
    <row r="1216" spans="2:16" ht="27.75" customHeight="1">
      <c r="B1216" s="25">
        <f t="shared" si="18"/>
        <v>1185</v>
      </c>
      <c r="C1216" s="42" t="s">
        <v>1000</v>
      </c>
      <c r="D1216" s="17" t="s">
        <v>1000</v>
      </c>
      <c r="E1216" s="179"/>
      <c r="F1216" s="205" t="s">
        <v>3740</v>
      </c>
    </row>
    <row r="1217" spans="2:6" ht="27.75" customHeight="1">
      <c r="B1217" s="25">
        <f t="shared" si="18"/>
        <v>1186</v>
      </c>
      <c r="C1217" s="42" t="s">
        <v>3741</v>
      </c>
      <c r="D1217" s="17" t="s">
        <v>3741</v>
      </c>
      <c r="E1217" s="25"/>
      <c r="F1217" s="234" t="s">
        <v>3751</v>
      </c>
    </row>
    <row r="1218" spans="2:6" ht="27.75" customHeight="1">
      <c r="B1218" s="25">
        <f t="shared" si="18"/>
        <v>1187</v>
      </c>
      <c r="C1218" s="42" t="s">
        <v>3745</v>
      </c>
      <c r="D1218" s="17" t="s">
        <v>3745</v>
      </c>
      <c r="E1218" s="179"/>
      <c r="F1218" s="205" t="s">
        <v>3752</v>
      </c>
    </row>
    <row r="1219" spans="2:6" ht="27.75" customHeight="1">
      <c r="B1219" s="25">
        <f t="shared" si="18"/>
        <v>1188</v>
      </c>
      <c r="C1219" s="42" t="s">
        <v>3746</v>
      </c>
      <c r="D1219" s="17" t="s">
        <v>3746</v>
      </c>
      <c r="E1219" s="25"/>
      <c r="F1219" s="205" t="s">
        <v>3753</v>
      </c>
    </row>
    <row r="1220" spans="2:6" ht="27.75" customHeight="1">
      <c r="B1220" s="25">
        <f t="shared" si="18"/>
        <v>1189</v>
      </c>
      <c r="C1220" s="42" t="s">
        <v>3712</v>
      </c>
      <c r="D1220" s="17" t="s">
        <v>3712</v>
      </c>
      <c r="E1220" s="179"/>
      <c r="F1220" s="205" t="s">
        <v>3719</v>
      </c>
    </row>
    <row r="1221" spans="2:6" ht="27.75" customHeight="1">
      <c r="B1221" s="25">
        <f t="shared" si="18"/>
        <v>1190</v>
      </c>
      <c r="C1221" s="42" t="s">
        <v>3747</v>
      </c>
      <c r="D1221" s="17" t="s">
        <v>3747</v>
      </c>
      <c r="E1221" s="25"/>
      <c r="F1221" s="205" t="s">
        <v>3754</v>
      </c>
    </row>
    <row r="1222" spans="2:6" ht="27.75" customHeight="1">
      <c r="B1222" s="25">
        <f t="shared" si="18"/>
        <v>1191</v>
      </c>
      <c r="C1222" s="42" t="s">
        <v>3748</v>
      </c>
      <c r="D1222" s="17" t="s">
        <v>3748</v>
      </c>
      <c r="E1222" s="179"/>
      <c r="F1222" s="205" t="s">
        <v>3755</v>
      </c>
    </row>
    <row r="1223" spans="2:6" ht="27.75" customHeight="1">
      <c r="B1223" s="25">
        <f t="shared" ref="B1223:B1285" si="19">B1222+1</f>
        <v>1192</v>
      </c>
      <c r="C1223" s="42" t="s">
        <v>3749</v>
      </c>
      <c r="D1223" s="17" t="s">
        <v>3749</v>
      </c>
      <c r="E1223" s="25"/>
      <c r="F1223" s="234" t="s">
        <v>3756</v>
      </c>
    </row>
    <row r="1224" spans="2:6" ht="27.75" customHeight="1">
      <c r="B1224" s="25">
        <f t="shared" si="19"/>
        <v>1193</v>
      </c>
      <c r="C1224" s="42" t="s">
        <v>3738</v>
      </c>
      <c r="D1224" s="17" t="s">
        <v>3738</v>
      </c>
      <c r="E1224" s="179"/>
      <c r="F1224" s="234" t="s">
        <v>3757</v>
      </c>
    </row>
    <row r="1225" spans="2:6" ht="27.75" customHeight="1">
      <c r="B1225" s="25">
        <f t="shared" si="19"/>
        <v>1194</v>
      </c>
      <c r="C1225" s="42" t="s">
        <v>3739</v>
      </c>
      <c r="D1225" s="17" t="s">
        <v>3739</v>
      </c>
      <c r="E1225" s="25"/>
      <c r="F1225" s="234" t="s">
        <v>3758</v>
      </c>
    </row>
    <row r="1226" spans="2:6" ht="27.75" customHeight="1">
      <c r="B1226" s="25">
        <f t="shared" si="19"/>
        <v>1195</v>
      </c>
      <c r="C1226" s="42" t="s">
        <v>3750</v>
      </c>
      <c r="D1226" s="17" t="s">
        <v>3750</v>
      </c>
      <c r="E1226" s="179"/>
      <c r="F1226" s="234" t="s">
        <v>3759</v>
      </c>
    </row>
    <row r="1227" spans="2:6" ht="27.75" customHeight="1">
      <c r="B1227" s="25">
        <f t="shared" si="19"/>
        <v>1196</v>
      </c>
      <c r="C1227" s="42" t="s">
        <v>3737</v>
      </c>
      <c r="D1227" s="17" t="s">
        <v>3737</v>
      </c>
      <c r="E1227" s="25"/>
      <c r="F1227" s="234" t="s">
        <v>3765</v>
      </c>
    </row>
    <row r="1228" spans="2:6" ht="27.75" customHeight="1">
      <c r="B1228" s="25">
        <f t="shared" si="19"/>
        <v>1197</v>
      </c>
      <c r="C1228" s="42" t="s">
        <v>3762</v>
      </c>
      <c r="D1228" s="17" t="s">
        <v>3762</v>
      </c>
      <c r="E1228" s="179"/>
      <c r="F1228" s="205" t="s">
        <v>3766</v>
      </c>
    </row>
    <row r="1229" spans="2:6" ht="27.75" customHeight="1">
      <c r="B1229" s="25">
        <f t="shared" si="19"/>
        <v>1198</v>
      </c>
      <c r="C1229" s="42" t="s">
        <v>3760</v>
      </c>
      <c r="D1229" s="17" t="s">
        <v>3760</v>
      </c>
      <c r="E1229" s="25"/>
      <c r="F1229" s="234" t="s">
        <v>3767</v>
      </c>
    </row>
    <row r="1230" spans="2:6" ht="27.75" customHeight="1">
      <c r="B1230" s="25">
        <f t="shared" si="19"/>
        <v>1199</v>
      </c>
      <c r="C1230" s="42" t="s">
        <v>3761</v>
      </c>
      <c r="D1230" s="17" t="s">
        <v>3761</v>
      </c>
      <c r="E1230" s="179"/>
      <c r="F1230" s="205" t="s">
        <v>3768</v>
      </c>
    </row>
    <row r="1231" spans="2:6" ht="27.75" customHeight="1">
      <c r="B1231" s="25">
        <f t="shared" si="19"/>
        <v>1200</v>
      </c>
      <c r="C1231" s="17" t="s">
        <v>288</v>
      </c>
      <c r="D1231" s="17" t="s">
        <v>288</v>
      </c>
      <c r="E1231" s="25"/>
      <c r="F1231" s="234" t="s">
        <v>3769</v>
      </c>
    </row>
    <row r="1232" spans="2:6" ht="27.75" customHeight="1">
      <c r="B1232" s="25">
        <f t="shared" si="19"/>
        <v>1201</v>
      </c>
      <c r="C1232" s="17" t="s">
        <v>3764</v>
      </c>
      <c r="D1232" s="17" t="s">
        <v>3764</v>
      </c>
      <c r="E1232" s="179"/>
      <c r="F1232" s="205" t="s">
        <v>3770</v>
      </c>
    </row>
    <row r="1233" spans="2:6" ht="27.75" customHeight="1">
      <c r="B1233" s="25">
        <f t="shared" si="19"/>
        <v>1202</v>
      </c>
      <c r="C1233" s="17" t="s">
        <v>3772</v>
      </c>
      <c r="D1233" s="17" t="s">
        <v>3772</v>
      </c>
      <c r="E1233" s="25"/>
      <c r="F1233" s="234" t="s">
        <v>3773</v>
      </c>
    </row>
    <row r="1234" spans="2:6" ht="27.75" customHeight="1">
      <c r="B1234" s="25">
        <f t="shared" si="19"/>
        <v>1203</v>
      </c>
      <c r="C1234" s="17" t="s">
        <v>3775</v>
      </c>
      <c r="D1234" s="17" t="s">
        <v>3775</v>
      </c>
      <c r="E1234" s="179"/>
      <c r="F1234" s="209" t="s">
        <v>3783</v>
      </c>
    </row>
    <row r="1235" spans="2:6" ht="27.75" customHeight="1">
      <c r="B1235" s="25">
        <f t="shared" si="19"/>
        <v>1204</v>
      </c>
      <c r="C1235" s="17" t="s">
        <v>3776</v>
      </c>
      <c r="D1235" s="17" t="s">
        <v>3776</v>
      </c>
      <c r="E1235" s="25"/>
      <c r="F1235" s="240" t="s">
        <v>3784</v>
      </c>
    </row>
    <row r="1236" spans="2:6" ht="27.75" customHeight="1">
      <c r="B1236" s="25">
        <f t="shared" si="19"/>
        <v>1205</v>
      </c>
      <c r="C1236" s="17" t="s">
        <v>3777</v>
      </c>
      <c r="D1236" s="17" t="s">
        <v>3777</v>
      </c>
      <c r="E1236" s="179"/>
      <c r="F1236" s="209" t="s">
        <v>3785</v>
      </c>
    </row>
    <row r="1237" spans="2:6" ht="27.75" customHeight="1">
      <c r="B1237" s="25">
        <f t="shared" si="19"/>
        <v>1206</v>
      </c>
      <c r="C1237" s="17" t="s">
        <v>3778</v>
      </c>
      <c r="D1237" s="17" t="s">
        <v>3778</v>
      </c>
      <c r="E1237" s="25"/>
      <c r="F1237" s="240" t="s">
        <v>3786</v>
      </c>
    </row>
    <row r="1238" spans="2:6" ht="27.75" customHeight="1">
      <c r="B1238" s="25">
        <f t="shared" si="19"/>
        <v>1207</v>
      </c>
      <c r="C1238" s="17" t="s">
        <v>3779</v>
      </c>
      <c r="D1238" s="17" t="s">
        <v>3779</v>
      </c>
      <c r="E1238" s="179"/>
      <c r="F1238" s="209" t="s">
        <v>3787</v>
      </c>
    </row>
    <row r="1239" spans="2:6" ht="27.75" customHeight="1">
      <c r="B1239" s="25">
        <f t="shared" si="19"/>
        <v>1208</v>
      </c>
      <c r="C1239" s="17" t="s">
        <v>3780</v>
      </c>
      <c r="D1239" s="17" t="s">
        <v>3780</v>
      </c>
      <c r="E1239" s="25"/>
      <c r="F1239" s="240" t="s">
        <v>3788</v>
      </c>
    </row>
    <row r="1240" spans="2:6" ht="27.75" customHeight="1">
      <c r="B1240" s="25">
        <f>B1239+1</f>
        <v>1209</v>
      </c>
      <c r="C1240" s="17" t="s">
        <v>3781</v>
      </c>
      <c r="D1240" s="17" t="s">
        <v>3781</v>
      </c>
      <c r="E1240" s="179"/>
      <c r="F1240" s="209" t="s">
        <v>3789</v>
      </c>
    </row>
    <row r="1241" spans="2:6" ht="27.75" customHeight="1">
      <c r="B1241" s="25">
        <f t="shared" si="19"/>
        <v>1210</v>
      </c>
      <c r="C1241" s="17" t="s">
        <v>3774</v>
      </c>
      <c r="D1241" s="17" t="s">
        <v>3774</v>
      </c>
      <c r="E1241" s="25"/>
      <c r="F1241" s="240" t="s">
        <v>3790</v>
      </c>
    </row>
    <row r="1242" spans="2:6" ht="27.75" customHeight="1">
      <c r="B1242" s="25">
        <f t="shared" si="19"/>
        <v>1211</v>
      </c>
      <c r="C1242" s="17" t="s">
        <v>553</v>
      </c>
      <c r="D1242" s="17" t="s">
        <v>553</v>
      </c>
      <c r="E1242" s="179"/>
      <c r="F1242" s="205" t="s">
        <v>3791</v>
      </c>
    </row>
    <row r="1243" spans="2:6" ht="27.75" customHeight="1">
      <c r="B1243" s="25">
        <f t="shared" si="19"/>
        <v>1212</v>
      </c>
      <c r="C1243" s="17" t="s">
        <v>683</v>
      </c>
      <c r="D1243" s="17" t="s">
        <v>683</v>
      </c>
      <c r="E1243" s="25"/>
      <c r="F1243" s="234" t="s">
        <v>3792</v>
      </c>
    </row>
    <row r="1244" spans="2:6" ht="27.75" customHeight="1">
      <c r="B1244" s="25">
        <f t="shared" si="19"/>
        <v>1213</v>
      </c>
      <c r="C1244" s="17" t="s">
        <v>3782</v>
      </c>
      <c r="D1244" s="17" t="s">
        <v>3782</v>
      </c>
      <c r="E1244" s="179"/>
      <c r="F1244" s="209" t="s">
        <v>3793</v>
      </c>
    </row>
    <row r="1245" spans="2:6" ht="27.75" customHeight="1">
      <c r="B1245" s="25">
        <f t="shared" si="19"/>
        <v>1214</v>
      </c>
      <c r="C1245" s="17" t="s">
        <v>3821</v>
      </c>
      <c r="D1245" s="17" t="s">
        <v>3821</v>
      </c>
      <c r="E1245" s="241"/>
      <c r="F1245" s="241" t="s">
        <v>3823</v>
      </c>
    </row>
    <row r="1246" spans="2:6" ht="27.75" customHeight="1">
      <c r="B1246" s="25">
        <f t="shared" si="19"/>
        <v>1215</v>
      </c>
      <c r="C1246" s="17" t="s">
        <v>3812</v>
      </c>
      <c r="D1246" s="17" t="s">
        <v>3812</v>
      </c>
      <c r="E1246" s="179"/>
      <c r="F1246" s="205" t="s">
        <v>3830</v>
      </c>
    </row>
    <row r="1247" spans="2:6" ht="27.75" customHeight="1">
      <c r="B1247" s="25">
        <f t="shared" si="19"/>
        <v>1216</v>
      </c>
      <c r="C1247" s="17" t="s">
        <v>3843</v>
      </c>
      <c r="D1247" s="17" t="s">
        <v>3843</v>
      </c>
      <c r="E1247" s="25"/>
      <c r="F1247" s="234" t="s">
        <v>3844</v>
      </c>
    </row>
    <row r="1248" spans="2:6" ht="27.75" customHeight="1">
      <c r="B1248" s="25">
        <f t="shared" si="19"/>
        <v>1217</v>
      </c>
      <c r="C1248" s="17" t="s">
        <v>3845</v>
      </c>
      <c r="D1248" s="17" t="s">
        <v>3845</v>
      </c>
      <c r="E1248" s="179"/>
      <c r="F1248" s="205" t="s">
        <v>3847</v>
      </c>
    </row>
    <row r="1249" spans="2:6" ht="27.75" customHeight="1">
      <c r="B1249" s="25">
        <f t="shared" si="19"/>
        <v>1218</v>
      </c>
      <c r="C1249" s="17" t="s">
        <v>3846</v>
      </c>
      <c r="D1249" s="17" t="s">
        <v>3846</v>
      </c>
      <c r="E1249" s="25"/>
      <c r="F1249" s="234" t="s">
        <v>3848</v>
      </c>
    </row>
    <row r="1250" spans="2:6" ht="27.75" customHeight="1">
      <c r="B1250" s="25">
        <f t="shared" si="19"/>
        <v>1219</v>
      </c>
      <c r="C1250" s="17" t="s">
        <v>3849</v>
      </c>
      <c r="D1250" s="17" t="s">
        <v>3849</v>
      </c>
      <c r="E1250" s="179"/>
      <c r="F1250" s="205" t="s">
        <v>3850</v>
      </c>
    </row>
    <row r="1251" spans="2:6" ht="27.75" customHeight="1">
      <c r="B1251" s="25">
        <f t="shared" si="19"/>
        <v>1220</v>
      </c>
      <c r="C1251" s="17" t="s">
        <v>3811</v>
      </c>
      <c r="D1251" s="17" t="s">
        <v>3811</v>
      </c>
      <c r="E1251" s="25"/>
      <c r="F1251" s="234" t="s">
        <v>3851</v>
      </c>
    </row>
    <row r="1252" spans="2:6" ht="27.75" customHeight="1">
      <c r="B1252" s="25">
        <f t="shared" si="19"/>
        <v>1221</v>
      </c>
      <c r="C1252" s="17" t="s">
        <v>3852</v>
      </c>
      <c r="D1252" s="17" t="s">
        <v>3852</v>
      </c>
      <c r="E1252" s="179"/>
      <c r="F1252" s="209" t="s">
        <v>3853</v>
      </c>
    </row>
    <row r="1253" spans="2:6" ht="27.75" customHeight="1">
      <c r="B1253" s="25">
        <f t="shared" si="19"/>
        <v>1222</v>
      </c>
      <c r="C1253" s="17" t="s">
        <v>3857</v>
      </c>
      <c r="D1253" s="17" t="s">
        <v>3857</v>
      </c>
      <c r="E1253" s="25"/>
      <c r="F1253" s="234" t="s">
        <v>3858</v>
      </c>
    </row>
    <row r="1254" spans="2:6" ht="27.75" customHeight="1">
      <c r="B1254" s="25">
        <f t="shared" si="19"/>
        <v>1223</v>
      </c>
      <c r="C1254" s="17" t="s">
        <v>3859</v>
      </c>
      <c r="D1254" s="17" t="s">
        <v>3859</v>
      </c>
      <c r="E1254" s="179"/>
      <c r="F1254" s="205" t="s">
        <v>3860</v>
      </c>
    </row>
    <row r="1255" spans="2:6" ht="27.75" customHeight="1">
      <c r="B1255" s="25">
        <f t="shared" si="19"/>
        <v>1224</v>
      </c>
      <c r="C1255" s="17" t="s">
        <v>3861</v>
      </c>
      <c r="D1255" s="17" t="s">
        <v>3861</v>
      </c>
      <c r="E1255" s="25"/>
      <c r="F1255" s="234" t="s">
        <v>3862</v>
      </c>
    </row>
    <row r="1256" spans="2:6" ht="27.75" customHeight="1">
      <c r="B1256" s="25">
        <f t="shared" si="19"/>
        <v>1225</v>
      </c>
      <c r="C1256" s="17" t="s">
        <v>3863</v>
      </c>
      <c r="D1256" s="17" t="s">
        <v>3863</v>
      </c>
      <c r="E1256" s="179"/>
      <c r="F1256" s="205" t="s">
        <v>3864</v>
      </c>
    </row>
    <row r="1257" spans="2:6" ht="27.75" customHeight="1">
      <c r="B1257" s="25">
        <f t="shared" si="19"/>
        <v>1226</v>
      </c>
      <c r="C1257" s="17"/>
      <c r="D1257" s="17"/>
      <c r="E1257" s="25"/>
      <c r="F1257" s="234"/>
    </row>
    <row r="1258" spans="2:6" ht="27.75" customHeight="1">
      <c r="B1258" s="25">
        <f t="shared" si="19"/>
        <v>1227</v>
      </c>
      <c r="C1258" s="17"/>
      <c r="D1258" s="17"/>
      <c r="E1258" s="179"/>
      <c r="F1258" s="205"/>
    </row>
    <row r="1259" spans="2:6" ht="27.75" customHeight="1">
      <c r="B1259" s="25">
        <f t="shared" si="19"/>
        <v>1228</v>
      </c>
      <c r="C1259" s="17"/>
      <c r="D1259" s="17"/>
      <c r="E1259" s="25"/>
      <c r="F1259" s="234"/>
    </row>
    <row r="1260" spans="2:6" ht="27.75" customHeight="1">
      <c r="B1260" s="25">
        <f t="shared" si="19"/>
        <v>1229</v>
      </c>
      <c r="C1260" s="17"/>
      <c r="D1260" s="17"/>
      <c r="E1260" s="179"/>
      <c r="F1260" s="205"/>
    </row>
    <row r="1261" spans="2:6" ht="27.75" customHeight="1">
      <c r="B1261" s="25">
        <f t="shared" si="19"/>
        <v>1230</v>
      </c>
      <c r="C1261" s="17"/>
      <c r="D1261" s="17"/>
      <c r="E1261" s="25"/>
      <c r="F1261" s="234"/>
    </row>
    <row r="1262" spans="2:6" ht="27.75" customHeight="1">
      <c r="B1262" s="25">
        <f t="shared" si="19"/>
        <v>1231</v>
      </c>
      <c r="C1262" s="17"/>
      <c r="D1262" s="17"/>
      <c r="E1262" s="179"/>
      <c r="F1262" s="205"/>
    </row>
    <row r="1263" spans="2:6" ht="27.75" customHeight="1">
      <c r="B1263" s="25">
        <f t="shared" si="19"/>
        <v>1232</v>
      </c>
      <c r="C1263" s="17"/>
      <c r="D1263" s="17"/>
      <c r="E1263" s="25"/>
      <c r="F1263" s="234"/>
    </row>
    <row r="1264" spans="2:6" ht="27.75" customHeight="1">
      <c r="B1264" s="25">
        <f t="shared" si="19"/>
        <v>1233</v>
      </c>
      <c r="C1264" s="17"/>
      <c r="D1264" s="17"/>
      <c r="E1264" s="179"/>
      <c r="F1264" s="205"/>
    </row>
    <row r="1265" spans="2:6" ht="27.75" customHeight="1">
      <c r="B1265" s="25">
        <f t="shared" si="19"/>
        <v>1234</v>
      </c>
      <c r="C1265" s="17"/>
      <c r="D1265" s="17"/>
      <c r="E1265" s="25"/>
      <c r="F1265" s="234"/>
    </row>
    <row r="1266" spans="2:6" ht="27.75" customHeight="1">
      <c r="B1266" s="25">
        <f t="shared" si="19"/>
        <v>1235</v>
      </c>
      <c r="C1266" s="17"/>
      <c r="D1266" s="17"/>
      <c r="E1266" s="179"/>
      <c r="F1266" s="205"/>
    </row>
    <row r="1267" spans="2:6" ht="27.75" customHeight="1">
      <c r="B1267" s="25">
        <f t="shared" si="19"/>
        <v>1236</v>
      </c>
      <c r="C1267" s="17"/>
      <c r="D1267" s="17"/>
      <c r="E1267" s="25"/>
      <c r="F1267" s="234"/>
    </row>
    <row r="1268" spans="2:6" ht="27.75" customHeight="1">
      <c r="B1268" s="25">
        <f t="shared" si="19"/>
        <v>1237</v>
      </c>
      <c r="C1268" s="17"/>
      <c r="D1268" s="17"/>
      <c r="E1268" s="179"/>
      <c r="F1268" s="205"/>
    </row>
    <row r="1269" spans="2:6" ht="27.75" customHeight="1">
      <c r="B1269" s="25">
        <f t="shared" si="19"/>
        <v>1238</v>
      </c>
      <c r="C1269" s="17"/>
      <c r="D1269" s="17"/>
      <c r="E1269" s="25"/>
      <c r="F1269" s="234"/>
    </row>
    <row r="1270" spans="2:6" ht="27.75" customHeight="1">
      <c r="B1270" s="25">
        <f t="shared" si="19"/>
        <v>1239</v>
      </c>
      <c r="C1270" s="17"/>
      <c r="D1270" s="17"/>
      <c r="E1270" s="179"/>
      <c r="F1270" s="205"/>
    </row>
    <row r="1271" spans="2:6" ht="27.75" customHeight="1">
      <c r="B1271" s="25">
        <f t="shared" si="19"/>
        <v>1240</v>
      </c>
      <c r="C1271" s="17"/>
      <c r="D1271" s="17"/>
      <c r="E1271" s="25"/>
      <c r="F1271" s="234"/>
    </row>
    <row r="1272" spans="2:6" ht="27.75" customHeight="1">
      <c r="B1272" s="25">
        <f t="shared" si="19"/>
        <v>1241</v>
      </c>
      <c r="C1272" s="17"/>
      <c r="D1272" s="17"/>
      <c r="E1272" s="179"/>
      <c r="F1272" s="205"/>
    </row>
    <row r="1273" spans="2:6" ht="27.75" customHeight="1">
      <c r="B1273" s="25">
        <f t="shared" si="19"/>
        <v>1242</v>
      </c>
      <c r="C1273" s="17"/>
      <c r="D1273" s="17"/>
      <c r="E1273" s="25"/>
      <c r="F1273" s="234"/>
    </row>
    <row r="1274" spans="2:6" ht="27.75" customHeight="1">
      <c r="B1274" s="25">
        <f t="shared" si="19"/>
        <v>1243</v>
      </c>
      <c r="C1274" s="17"/>
      <c r="D1274" s="17"/>
      <c r="E1274" s="179"/>
      <c r="F1274" s="205"/>
    </row>
    <row r="1275" spans="2:6" ht="27.75" customHeight="1">
      <c r="B1275" s="25">
        <f t="shared" si="19"/>
        <v>1244</v>
      </c>
      <c r="C1275" s="17"/>
      <c r="D1275" s="17"/>
      <c r="E1275" s="25"/>
      <c r="F1275" s="234"/>
    </row>
    <row r="1276" spans="2:6" ht="27.75" customHeight="1">
      <c r="B1276" s="25">
        <f t="shared" si="19"/>
        <v>1245</v>
      </c>
      <c r="C1276" s="17"/>
      <c r="D1276" s="17"/>
      <c r="E1276" s="179"/>
      <c r="F1276" s="205"/>
    </row>
    <row r="1277" spans="2:6" ht="27.75" customHeight="1">
      <c r="B1277" s="25">
        <f t="shared" si="19"/>
        <v>1246</v>
      </c>
      <c r="C1277" s="17"/>
      <c r="D1277" s="17"/>
      <c r="E1277" s="25"/>
      <c r="F1277" s="234"/>
    </row>
    <row r="1278" spans="2:6" ht="27.75" customHeight="1">
      <c r="B1278" s="25">
        <f t="shared" si="19"/>
        <v>1247</v>
      </c>
      <c r="C1278" s="17"/>
      <c r="D1278" s="17"/>
      <c r="E1278" s="179"/>
      <c r="F1278" s="205"/>
    </row>
    <row r="1279" spans="2:6" ht="27.75" customHeight="1">
      <c r="B1279" s="25">
        <f t="shared" si="19"/>
        <v>1248</v>
      </c>
      <c r="C1279" s="17"/>
      <c r="D1279" s="17"/>
      <c r="E1279" s="25"/>
      <c r="F1279" s="234"/>
    </row>
    <row r="1280" spans="2:6" ht="27.75" customHeight="1">
      <c r="B1280" s="25">
        <f t="shared" si="19"/>
        <v>1249</v>
      </c>
      <c r="C1280" s="17"/>
      <c r="D1280" s="17"/>
      <c r="E1280" s="179"/>
      <c r="F1280" s="205"/>
    </row>
    <row r="1281" spans="2:6" ht="27.75" customHeight="1">
      <c r="B1281" s="25">
        <f t="shared" si="19"/>
        <v>1250</v>
      </c>
      <c r="C1281" s="17"/>
      <c r="D1281" s="17"/>
      <c r="E1281" s="25"/>
      <c r="F1281" s="234"/>
    </row>
    <row r="1282" spans="2:6" ht="27.75" customHeight="1">
      <c r="B1282" s="25">
        <f t="shared" si="19"/>
        <v>1251</v>
      </c>
      <c r="C1282" s="17"/>
      <c r="D1282" s="17"/>
      <c r="E1282" s="179"/>
      <c r="F1282" s="205"/>
    </row>
    <row r="1283" spans="2:6" ht="27.75" customHeight="1">
      <c r="B1283" s="25">
        <f t="shared" si="19"/>
        <v>1252</v>
      </c>
      <c r="C1283" s="17"/>
      <c r="D1283" s="17"/>
      <c r="E1283" s="25"/>
      <c r="F1283" s="234"/>
    </row>
    <row r="1284" spans="2:6" ht="27.75" customHeight="1">
      <c r="B1284" s="25">
        <f t="shared" si="19"/>
        <v>1253</v>
      </c>
      <c r="C1284" s="17"/>
      <c r="D1284" s="17"/>
      <c r="E1284" s="179"/>
      <c r="F1284" s="205"/>
    </row>
    <row r="1285" spans="2:6" ht="27.75" customHeight="1">
      <c r="B1285" s="25">
        <f t="shared" si="19"/>
        <v>1254</v>
      </c>
      <c r="C1285" s="17"/>
      <c r="D1285" s="17"/>
      <c r="E1285" s="25"/>
      <c r="F1285" s="234"/>
    </row>
    <row r="1286" spans="2:6" ht="27.75" customHeight="1">
      <c r="D1286" s="17"/>
    </row>
  </sheetData>
  <autoFilter ref="A4:T1285"/>
  <mergeCells count="2">
    <mergeCell ref="A1:Q1"/>
    <mergeCell ref="A2:G2"/>
  </mergeCells>
  <hyperlinks>
    <hyperlink ref="T2" r:id="rId1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2:T1038"/>
  <sheetViews>
    <sheetView workbookViewId="0">
      <pane xSplit="4" ySplit="5" topLeftCell="E10" activePane="bottomRight" state="frozen"/>
      <selection activeCell="C1037" sqref="C1037"/>
      <selection pane="topRight" activeCell="C1037" sqref="C1037"/>
      <selection pane="bottomLeft" activeCell="C1037" sqref="C1037"/>
      <selection pane="bottomRight" activeCell="I18" sqref="I18"/>
    </sheetView>
  </sheetViews>
  <sheetFormatPr defaultColWidth="9" defaultRowHeight="15"/>
  <cols>
    <col min="1" max="1" width="4.42578125" style="187" customWidth="1"/>
    <col min="2" max="2" width="6.28515625" style="188" customWidth="1"/>
    <col min="3" max="3" width="19.42578125" style="188" customWidth="1"/>
    <col min="4" max="4" width="34.42578125" style="188" customWidth="1"/>
    <col min="5" max="5" width="20.85546875" style="195" customWidth="1"/>
    <col min="6" max="16384" width="9" style="187"/>
  </cols>
  <sheetData>
    <row r="2" spans="1:20" ht="24" customHeight="1">
      <c r="C2" s="198" t="s">
        <v>3690</v>
      </c>
      <c r="D2" s="198" t="s">
        <v>3865</v>
      </c>
      <c r="E2" s="266" t="s">
        <v>3866</v>
      </c>
    </row>
    <row r="4" spans="1:20" s="189" customFormat="1" ht="41.25" customHeight="1">
      <c r="B4" s="194" t="s">
        <v>1242</v>
      </c>
      <c r="C4" s="194" t="s">
        <v>3627</v>
      </c>
      <c r="D4" s="194" t="s">
        <v>3628</v>
      </c>
      <c r="E4" s="196" t="s">
        <v>3689</v>
      </c>
    </row>
    <row r="5" spans="1:20" s="189" customFormat="1" ht="27" customHeight="1">
      <c r="B5" s="194"/>
      <c r="C5" s="194"/>
      <c r="D5" s="194"/>
      <c r="E5" s="196" t="e">
        <f>SUBTOTAL(9,E6:E101)</f>
        <v>#REF!</v>
      </c>
    </row>
    <row r="6" spans="1:20" s="186" customFormat="1" ht="19.5" customHeight="1">
      <c r="A6" s="187"/>
      <c r="B6" s="190">
        <v>1</v>
      </c>
      <c r="C6" s="190" t="s">
        <v>3629</v>
      </c>
      <c r="D6" s="200" t="s">
        <v>24</v>
      </c>
      <c r="E6" s="197" t="e">
        <f>SUMIFS('DETAIL '!#REF!,'DETAIL '!#REF!,'NAME INDEX'!$D$2,'DETAIL '!#REF!,'NAME INDEX'!C6,'DETAIL '!#REF!,'NAME INDEX'!$E$2)</f>
        <v>#REF!</v>
      </c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</row>
    <row r="7" spans="1:20" ht="19.5" customHeight="1">
      <c r="B7" s="191">
        <v>2</v>
      </c>
      <c r="C7" s="190" t="s">
        <v>3630</v>
      </c>
      <c r="D7" s="201" t="s">
        <v>27</v>
      </c>
      <c r="E7" s="197" t="e">
        <f>SUMIFS('DETAIL '!#REF!,'DETAIL '!#REF!,'NAME INDEX'!$D$2,'DETAIL '!#REF!,'NAME INDEX'!C7,'DETAIL '!#REF!,'NAME INDEX'!$E$2)</f>
        <v>#REF!</v>
      </c>
    </row>
    <row r="8" spans="1:20" ht="19.5" customHeight="1">
      <c r="B8" s="191">
        <v>3</v>
      </c>
      <c r="C8" s="190" t="s">
        <v>3631</v>
      </c>
      <c r="D8" s="201" t="s">
        <v>26</v>
      </c>
      <c r="E8" s="197" t="e">
        <f>SUMIFS('DETAIL '!#REF!,'DETAIL '!#REF!,'NAME INDEX'!$D$2,'DETAIL '!#REF!,'NAME INDEX'!C8,'DETAIL '!#REF!,'NAME INDEX'!$E$2)</f>
        <v>#REF!</v>
      </c>
    </row>
    <row r="9" spans="1:20" ht="19.5" customHeight="1">
      <c r="B9" s="191">
        <v>4</v>
      </c>
      <c r="C9" s="190" t="s">
        <v>3632</v>
      </c>
      <c r="D9" s="199" t="s">
        <v>14</v>
      </c>
      <c r="E9" s="197" t="e">
        <f>SUMIFS('DETAIL '!#REF!,'DETAIL '!#REF!,'NAME INDEX'!$D$2,'DETAIL '!#REF!,'NAME INDEX'!C9,'DETAIL '!#REF!,'NAME INDEX'!$E$2)</f>
        <v>#REF!</v>
      </c>
    </row>
    <row r="10" spans="1:20" ht="19.5" customHeight="1">
      <c r="B10" s="191">
        <v>5</v>
      </c>
      <c r="C10" s="190" t="s">
        <v>3633</v>
      </c>
      <c r="D10" s="199" t="s">
        <v>15</v>
      </c>
      <c r="E10" s="197" t="e">
        <f>SUMIFS('DETAIL '!#REF!,'DETAIL '!#REF!,'NAME INDEX'!$D$2,'DETAIL '!#REF!,'NAME INDEX'!C10,'DETAIL '!#REF!,'NAME INDEX'!$E$2)</f>
        <v>#REF!</v>
      </c>
    </row>
    <row r="11" spans="1:20" ht="19.5" customHeight="1">
      <c r="B11" s="191">
        <v>6</v>
      </c>
      <c r="C11" s="190" t="s">
        <v>3634</v>
      </c>
      <c r="D11" s="201" t="s">
        <v>23</v>
      </c>
      <c r="E11" s="197" t="e">
        <f>SUMIFS('DETAIL '!#REF!,'DETAIL '!#REF!,'NAME INDEX'!$D$2,'DETAIL '!#REF!,'NAME INDEX'!C11,'DETAIL '!#REF!,'NAME INDEX'!$E$2)</f>
        <v>#REF!</v>
      </c>
    </row>
    <row r="12" spans="1:20" ht="19.5" customHeight="1">
      <c r="B12" s="191">
        <v>7</v>
      </c>
      <c r="C12" s="190" t="s">
        <v>3635</v>
      </c>
      <c r="D12" s="199" t="s">
        <v>20</v>
      </c>
      <c r="E12" s="197" t="e">
        <f>SUMIFS('DETAIL '!#REF!,'DETAIL '!#REF!,'NAME INDEX'!$D$2,'DETAIL '!#REF!,'NAME INDEX'!C12,'DETAIL '!#REF!,'NAME INDEX'!$E$2)</f>
        <v>#REF!</v>
      </c>
    </row>
    <row r="13" spans="1:20" ht="19.5" customHeight="1">
      <c r="B13" s="191">
        <v>8</v>
      </c>
      <c r="C13" s="190" t="s">
        <v>3636</v>
      </c>
      <c r="D13" s="202" t="s">
        <v>16</v>
      </c>
      <c r="E13" s="197" t="e">
        <f>SUMIFS('DETAIL '!#REF!,'DETAIL '!#REF!,'NAME INDEX'!$D$2,'DETAIL '!#REF!,'NAME INDEX'!C13,'DETAIL '!#REF!,'NAME INDEX'!$E$2)</f>
        <v>#REF!</v>
      </c>
    </row>
    <row r="14" spans="1:20" ht="19.5" customHeight="1">
      <c r="B14" s="191">
        <v>9</v>
      </c>
      <c r="C14" s="190" t="s">
        <v>3637</v>
      </c>
      <c r="D14" s="202" t="s">
        <v>17</v>
      </c>
      <c r="E14" s="197" t="e">
        <f>SUMIFS('DETAIL '!#REF!,'DETAIL '!#REF!,'NAME INDEX'!$D$2,'DETAIL '!#REF!,'NAME INDEX'!C14,'DETAIL '!#REF!,'NAME INDEX'!$E$2)</f>
        <v>#REF!</v>
      </c>
    </row>
    <row r="15" spans="1:20" ht="19.5" customHeight="1">
      <c r="B15" s="191">
        <v>10</v>
      </c>
      <c r="C15" s="190" t="s">
        <v>3638</v>
      </c>
      <c r="D15" s="202" t="s">
        <v>18</v>
      </c>
      <c r="E15" s="197" t="e">
        <f>SUMIFS('DETAIL '!#REF!,'DETAIL '!#REF!,'NAME INDEX'!$D$2,'DETAIL '!#REF!,'NAME INDEX'!C15,'DETAIL '!#REF!,'NAME INDEX'!$E$2)</f>
        <v>#REF!</v>
      </c>
    </row>
    <row r="16" spans="1:20" ht="19.5" customHeight="1">
      <c r="B16" s="191">
        <v>11</v>
      </c>
      <c r="C16" s="190" t="s">
        <v>3639</v>
      </c>
      <c r="D16" s="202" t="s">
        <v>19</v>
      </c>
      <c r="E16" s="197" t="e">
        <f>SUMIFS('DETAIL '!#REF!,'DETAIL '!#REF!,'NAME INDEX'!$D$2,'DETAIL '!#REF!,'NAME INDEX'!C16,'DETAIL '!#REF!,'NAME INDEX'!$E$2)</f>
        <v>#REF!</v>
      </c>
    </row>
    <row r="17" spans="2:5" ht="19.5" customHeight="1">
      <c r="B17" s="191">
        <v>12</v>
      </c>
      <c r="C17" s="190" t="s">
        <v>3640</v>
      </c>
      <c r="D17" s="202" t="s">
        <v>25</v>
      </c>
      <c r="E17" s="197" t="e">
        <f>SUMIFS('DETAIL '!#REF!,'DETAIL '!#REF!,'NAME INDEX'!$D$2,'DETAIL '!#REF!,'NAME INDEX'!C17,'DETAIL '!#REF!,'NAME INDEX'!$E$2)</f>
        <v>#REF!</v>
      </c>
    </row>
    <row r="18" spans="2:5" ht="19.5" customHeight="1">
      <c r="B18" s="191">
        <v>13</v>
      </c>
      <c r="C18" s="190" t="s">
        <v>3641</v>
      </c>
      <c r="D18" s="202" t="s">
        <v>21</v>
      </c>
      <c r="E18" s="197" t="e">
        <f>SUMIFS('DETAIL '!#REF!,'DETAIL '!#REF!,'NAME INDEX'!$D$2,'DETAIL '!#REF!,'NAME INDEX'!C18,'DETAIL '!#REF!,'NAME INDEX'!$E$2)</f>
        <v>#REF!</v>
      </c>
    </row>
    <row r="19" spans="2:5" ht="20.25" customHeight="1">
      <c r="B19" s="191">
        <v>14</v>
      </c>
      <c r="C19" s="190" t="s">
        <v>3642</v>
      </c>
      <c r="D19" s="202" t="s">
        <v>3856</v>
      </c>
      <c r="E19" s="197" t="e">
        <f>SUMIFS('DETAIL '!#REF!,'DETAIL '!#REF!,'NAME INDEX'!$D$2,'DETAIL '!#REF!,'NAME INDEX'!C19,'DETAIL '!#REF!,'NAME INDEX'!$E$2)</f>
        <v>#REF!</v>
      </c>
    </row>
    <row r="20" spans="2:5" ht="19.5" customHeight="1">
      <c r="B20" s="191">
        <v>15</v>
      </c>
      <c r="C20" s="190" t="s">
        <v>3721</v>
      </c>
      <c r="D20" s="202" t="s">
        <v>3722</v>
      </c>
      <c r="E20" s="197" t="e">
        <f>SUMIFS('DETAIL '!#REF!,'DETAIL '!#REF!,'NAME INDEX'!$D$2,'DETAIL '!#REF!,'NAME INDEX'!C20,'DETAIL '!#REF!,'NAME INDEX'!$E$2)</f>
        <v>#REF!</v>
      </c>
    </row>
    <row r="21" spans="2:5" ht="19.5" customHeight="1">
      <c r="B21" s="191">
        <v>16</v>
      </c>
      <c r="C21" s="190" t="s">
        <v>3854</v>
      </c>
      <c r="D21" s="202" t="s">
        <v>3855</v>
      </c>
      <c r="E21" s="197" t="e">
        <f>SUMIFS('DETAIL '!#REF!,'DETAIL '!#REF!,'NAME INDEX'!$D$2,'DETAIL '!#REF!,'NAME INDEX'!C21,'DETAIL '!#REF!,'NAME INDEX'!$E$2)</f>
        <v>#REF!</v>
      </c>
    </row>
    <row r="22" spans="2:5" ht="19.5" customHeight="1">
      <c r="B22" s="191">
        <v>17</v>
      </c>
      <c r="C22" s="190" t="s">
        <v>3643</v>
      </c>
      <c r="D22" s="202" t="s">
        <v>28</v>
      </c>
      <c r="E22" s="197" t="e">
        <f>SUMIFS('DETAIL '!#REF!,'DETAIL '!#REF!,'NAME INDEX'!$D$2,'DETAIL '!#REF!,'NAME INDEX'!C22,'DETAIL '!#REF!,'NAME INDEX'!$E$2)</f>
        <v>#REF!</v>
      </c>
    </row>
    <row r="23" spans="2:5" ht="19.5" customHeight="1">
      <c r="B23" s="191">
        <v>18</v>
      </c>
      <c r="C23" s="190" t="s">
        <v>3646</v>
      </c>
      <c r="D23" s="192" t="s">
        <v>3702</v>
      </c>
      <c r="E23" s="197" t="e">
        <f>SUMIFS('DETAIL '!#REF!,'DETAIL '!#REF!,'NAME INDEX'!$D$2,'DETAIL '!#REF!,'NAME INDEX'!C23,'DETAIL '!#REF!,'NAME INDEX'!$E$2)</f>
        <v>#REF!</v>
      </c>
    </row>
    <row r="24" spans="2:5" ht="19.5" customHeight="1">
      <c r="B24" s="191">
        <v>19</v>
      </c>
      <c r="C24" s="190" t="s">
        <v>3647</v>
      </c>
      <c r="D24" s="192" t="s">
        <v>3644</v>
      </c>
      <c r="E24" s="197" t="e">
        <f>SUMIFS('DETAIL '!#REF!,'DETAIL '!#REF!,'NAME INDEX'!$D$2,'DETAIL '!#REF!,'NAME INDEX'!C24,'DETAIL '!#REF!,'NAME INDEX'!$E$2)</f>
        <v>#REF!</v>
      </c>
    </row>
    <row r="25" spans="2:5" ht="19.5" customHeight="1">
      <c r="B25" s="191">
        <v>20</v>
      </c>
      <c r="C25" s="190" t="s">
        <v>3648</v>
      </c>
      <c r="D25" s="192" t="s">
        <v>3645</v>
      </c>
      <c r="E25" s="197" t="e">
        <f>SUMIFS('DETAIL '!#REF!,'DETAIL '!#REF!,'NAME INDEX'!$D$2,'DETAIL '!#REF!,'NAME INDEX'!C25,'DETAIL '!#REF!,'NAME INDEX'!$E$2)</f>
        <v>#REF!</v>
      </c>
    </row>
    <row r="26" spans="2:5" ht="19.5" customHeight="1">
      <c r="B26" s="191">
        <v>21</v>
      </c>
      <c r="C26" s="190" t="s">
        <v>3649</v>
      </c>
      <c r="D26" s="192" t="s">
        <v>3651</v>
      </c>
      <c r="E26" s="197" t="e">
        <f>SUMIFS('DETAIL '!#REF!,'DETAIL '!#REF!,'NAME INDEX'!$D$2,'DETAIL '!#REF!,'NAME INDEX'!C26,'DETAIL '!#REF!,'NAME INDEX'!$E$2)</f>
        <v>#REF!</v>
      </c>
    </row>
    <row r="27" spans="2:5" ht="19.5" customHeight="1">
      <c r="B27" s="191">
        <v>22</v>
      </c>
      <c r="C27" s="190" t="s">
        <v>3650</v>
      </c>
      <c r="D27" s="192" t="s">
        <v>3652</v>
      </c>
      <c r="E27" s="197" t="e">
        <f>SUMIFS('DETAIL '!#REF!,'DETAIL '!#REF!,'NAME INDEX'!$D$2,'DETAIL '!#REF!,'NAME INDEX'!C27,'DETAIL '!#REF!,'NAME INDEX'!$E$2)</f>
        <v>#REF!</v>
      </c>
    </row>
    <row r="28" spans="2:5" ht="19.5" customHeight="1">
      <c r="B28" s="191">
        <v>23</v>
      </c>
      <c r="C28" s="190" t="s">
        <v>3654</v>
      </c>
      <c r="D28" s="192" t="s">
        <v>3653</v>
      </c>
      <c r="E28" s="197" t="e">
        <f>SUMIFS('DETAIL '!#REF!,'DETAIL '!#REF!,'NAME INDEX'!$D$2,'DETAIL '!#REF!,'NAME INDEX'!C28,'DETAIL '!#REF!,'NAME INDEX'!$E$2)</f>
        <v>#REF!</v>
      </c>
    </row>
    <row r="29" spans="2:5" ht="19.5" customHeight="1">
      <c r="B29" s="191">
        <v>24</v>
      </c>
      <c r="C29" s="190" t="s">
        <v>3705</v>
      </c>
      <c r="D29" s="192" t="s">
        <v>3707</v>
      </c>
      <c r="E29" s="197" t="e">
        <f>SUMIFS('DETAIL '!#REF!,'DETAIL '!#REF!,'NAME INDEX'!$D$2,'DETAIL '!#REF!,'NAME INDEX'!C29,'DETAIL '!#REF!,'NAME INDEX'!$E$2)</f>
        <v>#REF!</v>
      </c>
    </row>
    <row r="30" spans="2:5" ht="19.5" customHeight="1">
      <c r="B30" s="191">
        <v>25</v>
      </c>
      <c r="C30" s="190" t="s">
        <v>3706</v>
      </c>
      <c r="D30" s="192" t="s">
        <v>3708</v>
      </c>
      <c r="E30" s="197" t="e">
        <f>SUMIFS('DETAIL '!#REF!,'DETAIL '!#REF!,'NAME INDEX'!$D$2,'DETAIL '!#REF!,'NAME INDEX'!C30,'DETAIL '!#REF!,'NAME INDEX'!$E$2)</f>
        <v>#REF!</v>
      </c>
    </row>
    <row r="31" spans="2:5" ht="19.5" customHeight="1">
      <c r="B31" s="191">
        <v>26</v>
      </c>
      <c r="C31" s="190"/>
      <c r="D31" s="192"/>
      <c r="E31" s="197" t="e">
        <f>SUMIFS('DETAIL '!#REF!,'DETAIL '!#REF!,'NAME INDEX'!$D$2,'DETAIL '!#REF!,'NAME INDEX'!C31,'DETAIL '!#REF!,'NAME INDEX'!$E$2)</f>
        <v>#REF!</v>
      </c>
    </row>
    <row r="32" spans="2:5" ht="19.5" customHeight="1">
      <c r="B32" s="191">
        <v>27</v>
      </c>
      <c r="C32" s="190"/>
      <c r="D32" s="192"/>
      <c r="E32" s="197" t="e">
        <f>SUMIFS('DETAIL '!#REF!,'DETAIL '!#REF!,'NAME INDEX'!$D$2,'DETAIL '!#REF!,'NAME INDEX'!C32,'DETAIL '!#REF!,'NAME INDEX'!$E$2)</f>
        <v>#REF!</v>
      </c>
    </row>
    <row r="33" spans="4:4">
      <c r="D33" s="193"/>
    </row>
    <row r="34" spans="4:4">
      <c r="D34" s="193"/>
    </row>
    <row r="35" spans="4:4">
      <c r="D35" s="193"/>
    </row>
    <row r="36" spans="4:4">
      <c r="D36" s="193"/>
    </row>
    <row r="37" spans="4:4">
      <c r="D37" s="193"/>
    </row>
    <row r="38" spans="4:4">
      <c r="D38" s="193"/>
    </row>
    <row r="39" spans="4:4">
      <c r="D39" s="193"/>
    </row>
    <row r="40" spans="4:4">
      <c r="D40" s="193"/>
    </row>
    <row r="41" spans="4:4">
      <c r="D41" s="193"/>
    </row>
    <row r="42" spans="4:4">
      <c r="D42" s="193"/>
    </row>
    <row r="43" spans="4:4">
      <c r="D43" s="193"/>
    </row>
    <row r="44" spans="4:4">
      <c r="D44" s="193"/>
    </row>
    <row r="45" spans="4:4">
      <c r="D45" s="193"/>
    </row>
    <row r="46" spans="4:4">
      <c r="D46" s="193"/>
    </row>
    <row r="47" spans="4:4">
      <c r="D47" s="193"/>
    </row>
    <row r="48" spans="4:4">
      <c r="D48" s="193"/>
    </row>
    <row r="49" spans="4:4">
      <c r="D49" s="193"/>
    </row>
    <row r="50" spans="4:4">
      <c r="D50" s="193"/>
    </row>
    <row r="51" spans="4:4">
      <c r="D51" s="193"/>
    </row>
    <row r="52" spans="4:4">
      <c r="D52" s="193"/>
    </row>
    <row r="53" spans="4:4">
      <c r="D53" s="193"/>
    </row>
    <row r="54" spans="4:4">
      <c r="D54" s="193"/>
    </row>
    <row r="55" spans="4:4">
      <c r="D55" s="193"/>
    </row>
    <row r="787" spans="5:17">
      <c r="E787" s="195">
        <v>1</v>
      </c>
      <c r="F787" s="187" t="s">
        <v>316</v>
      </c>
      <c r="H787" s="187" t="s">
        <v>3804</v>
      </c>
      <c r="I787" s="187">
        <v>8.3000000000000007</v>
      </c>
      <c r="J787" s="187">
        <v>9.3000000000000007</v>
      </c>
      <c r="L787" s="187">
        <v>0.16666666666666699</v>
      </c>
      <c r="M787" s="187">
        <v>0.83333333333333304</v>
      </c>
      <c r="Q787" s="187">
        <f>SUM(K787:K789)*100/20</f>
        <v>0</v>
      </c>
    </row>
    <row r="788" spans="5:17">
      <c r="E788" s="195">
        <v>1</v>
      </c>
      <c r="F788" s="187" t="s">
        <v>614</v>
      </c>
      <c r="H788" s="187" t="s">
        <v>3796</v>
      </c>
      <c r="I788" s="187">
        <v>9.3000000000000007</v>
      </c>
      <c r="J788" s="187">
        <v>12</v>
      </c>
      <c r="L788" s="187">
        <v>0.25</v>
      </c>
      <c r="M788" s="187">
        <f>2+0.25</f>
        <v>2.25</v>
      </c>
    </row>
    <row r="789" spans="5:17">
      <c r="E789" s="195">
        <v>1</v>
      </c>
      <c r="F789" s="187" t="s">
        <v>543</v>
      </c>
      <c r="H789" s="187" t="s">
        <v>3809</v>
      </c>
      <c r="I789" s="187">
        <v>13.3</v>
      </c>
      <c r="J789" s="187">
        <v>15</v>
      </c>
      <c r="L789" s="187">
        <v>8.3333333333333301E-2</v>
      </c>
      <c r="M789" s="187">
        <f>1+0.416666666666667</f>
        <v>1.416666666666667</v>
      </c>
    </row>
    <row r="974" spans="5:15">
      <c r="E974" s="195">
        <v>1</v>
      </c>
      <c r="F974" s="187" t="s">
        <v>3821</v>
      </c>
      <c r="H974" s="187" t="s">
        <v>3829</v>
      </c>
      <c r="I974" s="187">
        <v>8.3000000000000007</v>
      </c>
      <c r="J974" s="187">
        <v>10.3</v>
      </c>
      <c r="M974" s="187">
        <v>2</v>
      </c>
      <c r="O974" s="187" t="s">
        <v>3816</v>
      </c>
    </row>
    <row r="975" spans="5:15">
      <c r="E975" s="195">
        <v>1</v>
      </c>
      <c r="F975" s="187" t="s">
        <v>3733</v>
      </c>
      <c r="H975" s="187" t="s">
        <v>3817</v>
      </c>
      <c r="I975" s="187">
        <v>9</v>
      </c>
      <c r="J975" s="187">
        <v>12</v>
      </c>
      <c r="M975" s="187">
        <v>3</v>
      </c>
      <c r="O975" s="187" t="s">
        <v>3815</v>
      </c>
    </row>
    <row r="976" spans="5:15">
      <c r="E976" s="195">
        <v>1</v>
      </c>
      <c r="F976" s="187" t="s">
        <v>1630</v>
      </c>
      <c r="H976" s="187" t="s">
        <v>3804</v>
      </c>
      <c r="I976" s="187">
        <v>9.3000000000000007</v>
      </c>
      <c r="J976" s="187">
        <v>12</v>
      </c>
      <c r="M976" s="187">
        <v>2.5</v>
      </c>
      <c r="O976" s="187" t="s">
        <v>3826</v>
      </c>
    </row>
    <row r="977" spans="1:15">
      <c r="E977" s="195">
        <v>1</v>
      </c>
      <c r="F977" s="187" t="s">
        <v>439</v>
      </c>
      <c r="H977" s="187" t="s">
        <v>3834</v>
      </c>
      <c r="I977" s="187">
        <v>10.3</v>
      </c>
      <c r="J977" s="187">
        <v>14.3</v>
      </c>
      <c r="M977" s="187">
        <v>3</v>
      </c>
      <c r="O977" s="187" t="s">
        <v>3816</v>
      </c>
    </row>
    <row r="978" spans="1:15">
      <c r="A978" s="242">
        <v>43209</v>
      </c>
      <c r="E978" s="195">
        <v>4</v>
      </c>
      <c r="F978" s="187" t="s">
        <v>3812</v>
      </c>
      <c r="H978" s="187" t="s">
        <v>3835</v>
      </c>
      <c r="I978" s="187">
        <v>9.3000000000000007</v>
      </c>
      <c r="J978" s="187">
        <v>11.3</v>
      </c>
      <c r="M978" s="187">
        <v>3</v>
      </c>
      <c r="O978" s="187" t="s">
        <v>3816</v>
      </c>
    </row>
    <row r="979" spans="1:15">
      <c r="A979" s="242">
        <v>43209</v>
      </c>
      <c r="E979" s="195">
        <v>4</v>
      </c>
      <c r="F979" s="187" t="s">
        <v>3812</v>
      </c>
      <c r="H979" s="187" t="s">
        <v>3836</v>
      </c>
      <c r="I979" s="187">
        <v>9</v>
      </c>
      <c r="J979" s="187">
        <v>12</v>
      </c>
      <c r="M979" s="187">
        <v>3</v>
      </c>
      <c r="O979" s="187" t="s">
        <v>3815</v>
      </c>
    </row>
    <row r="980" spans="1:15">
      <c r="A980" s="242">
        <v>43209</v>
      </c>
      <c r="E980" s="195">
        <v>4</v>
      </c>
      <c r="F980" s="187" t="s">
        <v>3812</v>
      </c>
      <c r="H980" s="187" t="s">
        <v>1215</v>
      </c>
      <c r="I980" s="187">
        <v>13</v>
      </c>
      <c r="J980" s="187">
        <v>17</v>
      </c>
      <c r="M980" s="187">
        <v>4</v>
      </c>
      <c r="O980" s="187" t="s">
        <v>3815</v>
      </c>
    </row>
    <row r="981" spans="1:15">
      <c r="A981" s="242">
        <v>43210</v>
      </c>
      <c r="E981" s="195">
        <v>1</v>
      </c>
      <c r="F981" s="187" t="s">
        <v>369</v>
      </c>
      <c r="H981" s="187" t="s">
        <v>3837</v>
      </c>
      <c r="I981" s="187">
        <v>8.3000000000000007</v>
      </c>
      <c r="J981" s="187">
        <v>12</v>
      </c>
      <c r="M981" s="187">
        <v>3.5</v>
      </c>
      <c r="O981" s="187" t="s">
        <v>3816</v>
      </c>
    </row>
    <row r="982" spans="1:15">
      <c r="A982" s="242">
        <v>43210</v>
      </c>
      <c r="E982" s="195">
        <v>1</v>
      </c>
      <c r="F982" s="187" t="s">
        <v>369</v>
      </c>
      <c r="H982" s="187" t="s">
        <v>3838</v>
      </c>
      <c r="I982" s="187">
        <v>13</v>
      </c>
      <c r="J982" s="187">
        <v>17</v>
      </c>
      <c r="M982" s="187">
        <v>4</v>
      </c>
      <c r="O982" s="187" t="s">
        <v>3816</v>
      </c>
    </row>
    <row r="983" spans="1:15">
      <c r="A983" s="242">
        <v>43210</v>
      </c>
      <c r="E983" s="195">
        <v>1</v>
      </c>
      <c r="F983" s="187" t="s">
        <v>3735</v>
      </c>
      <c r="H983" s="187" t="s">
        <v>3804</v>
      </c>
      <c r="I983" s="187">
        <v>8.3000000000000007</v>
      </c>
      <c r="J983" s="187">
        <v>11.3</v>
      </c>
      <c r="M983" s="187">
        <v>3</v>
      </c>
      <c r="O983" s="187" t="s">
        <v>3815</v>
      </c>
    </row>
    <row r="984" spans="1:15">
      <c r="A984" s="242">
        <v>43210</v>
      </c>
      <c r="E984" s="195">
        <v>1</v>
      </c>
      <c r="F984" s="187" t="s">
        <v>1033</v>
      </c>
      <c r="H984" s="187" t="s">
        <v>3798</v>
      </c>
      <c r="I984" s="187">
        <v>11.3</v>
      </c>
      <c r="J984" s="187">
        <v>14.3</v>
      </c>
      <c r="M984" s="187">
        <v>3</v>
      </c>
      <c r="O984" s="187" t="s">
        <v>3815</v>
      </c>
    </row>
    <row r="985" spans="1:15">
      <c r="A985" s="242">
        <v>43210</v>
      </c>
      <c r="E985" s="195">
        <v>1</v>
      </c>
      <c r="F985" s="187" t="s">
        <v>377</v>
      </c>
      <c r="H985" s="187" t="s">
        <v>3839</v>
      </c>
      <c r="I985" s="187">
        <v>15.3</v>
      </c>
      <c r="J985" s="187">
        <v>17</v>
      </c>
      <c r="M985" s="187">
        <v>1.5</v>
      </c>
      <c r="O985" s="187" t="s">
        <v>3815</v>
      </c>
    </row>
    <row r="986" spans="1:15">
      <c r="A986" s="242">
        <v>43213</v>
      </c>
      <c r="E986" s="195">
        <v>4</v>
      </c>
      <c r="F986" s="187" t="s">
        <v>317</v>
      </c>
      <c r="H986" s="187" t="s">
        <v>3832</v>
      </c>
      <c r="I986" s="187">
        <v>8.3000000000000007</v>
      </c>
      <c r="J986" s="187">
        <v>10.3</v>
      </c>
      <c r="M986" s="187">
        <v>2</v>
      </c>
      <c r="O986" s="187" t="s">
        <v>3815</v>
      </c>
    </row>
    <row r="987" spans="1:15">
      <c r="A987" s="242">
        <v>43213</v>
      </c>
      <c r="E987" s="195">
        <v>1</v>
      </c>
      <c r="F987" s="187" t="s">
        <v>132</v>
      </c>
      <c r="H987" s="187" t="s">
        <v>3840</v>
      </c>
      <c r="I987" s="187">
        <v>10.3</v>
      </c>
      <c r="J987" s="187">
        <v>14.3</v>
      </c>
      <c r="M987" s="187">
        <v>3</v>
      </c>
      <c r="O987" s="187" t="s">
        <v>3815</v>
      </c>
    </row>
    <row r="988" spans="1:15">
      <c r="A988" s="242">
        <v>43213</v>
      </c>
      <c r="E988" s="195">
        <v>4</v>
      </c>
      <c r="F988" s="187" t="s">
        <v>1033</v>
      </c>
      <c r="H988" s="187" t="s">
        <v>3796</v>
      </c>
      <c r="I988" s="187">
        <v>14.3</v>
      </c>
      <c r="J988" s="187">
        <v>17</v>
      </c>
      <c r="M988" s="187">
        <v>2.5</v>
      </c>
      <c r="O988" s="187" t="s">
        <v>3815</v>
      </c>
    </row>
    <row r="989" spans="1:15">
      <c r="A989" s="242">
        <v>43214</v>
      </c>
      <c r="E989" s="195">
        <v>1</v>
      </c>
      <c r="F989" s="187" t="s">
        <v>774</v>
      </c>
      <c r="H989" s="187" t="s">
        <v>3800</v>
      </c>
      <c r="I989" s="187">
        <v>8.3000000000000007</v>
      </c>
      <c r="J989" s="187">
        <v>10.3</v>
      </c>
      <c r="M989" s="187">
        <v>2</v>
      </c>
      <c r="O989" s="187" t="s">
        <v>3815</v>
      </c>
    </row>
    <row r="990" spans="1:15">
      <c r="A990" s="242">
        <v>43214</v>
      </c>
      <c r="E990" s="195">
        <v>4</v>
      </c>
      <c r="F990" s="187" t="s">
        <v>368</v>
      </c>
      <c r="H990" s="187" t="s">
        <v>3795</v>
      </c>
      <c r="I990" s="187">
        <v>10.3</v>
      </c>
      <c r="J990" s="187">
        <v>12</v>
      </c>
      <c r="M990" s="187">
        <v>1.5</v>
      </c>
      <c r="O990" s="187" t="s">
        <v>3815</v>
      </c>
    </row>
    <row r="991" spans="1:15">
      <c r="A991" s="242">
        <v>43214</v>
      </c>
      <c r="E991" s="195">
        <v>4</v>
      </c>
      <c r="F991" s="187" t="s">
        <v>840</v>
      </c>
      <c r="H991" s="187" t="s">
        <v>3841</v>
      </c>
      <c r="I991" s="187">
        <v>8.3000000000000007</v>
      </c>
      <c r="J991" s="187">
        <v>10.3</v>
      </c>
      <c r="M991" s="187">
        <v>2</v>
      </c>
      <c r="O991" s="187" t="s">
        <v>3818</v>
      </c>
    </row>
    <row r="992" spans="1:15">
      <c r="A992" s="242">
        <v>43214</v>
      </c>
      <c r="E992" s="195">
        <v>4</v>
      </c>
      <c r="F992" s="187" t="s">
        <v>3777</v>
      </c>
      <c r="H992" s="187" t="s">
        <v>3799</v>
      </c>
      <c r="I992" s="187">
        <v>13</v>
      </c>
      <c r="J992" s="187">
        <v>15.3</v>
      </c>
      <c r="M992" s="187">
        <v>3.5</v>
      </c>
      <c r="O992" s="187" t="s">
        <v>3815</v>
      </c>
    </row>
    <row r="993" spans="1:15">
      <c r="A993" s="242">
        <v>43214</v>
      </c>
      <c r="E993" s="195">
        <v>1</v>
      </c>
      <c r="F993" s="187" t="s">
        <v>1036</v>
      </c>
      <c r="H993" s="187" t="s">
        <v>3801</v>
      </c>
      <c r="I993" s="187">
        <v>10.3</v>
      </c>
      <c r="J993" s="187">
        <v>14.3</v>
      </c>
      <c r="M993" s="187">
        <v>3</v>
      </c>
      <c r="O993" s="187" t="s">
        <v>3818</v>
      </c>
    </row>
    <row r="994" spans="1:15">
      <c r="A994" s="242">
        <v>43214</v>
      </c>
      <c r="E994" s="195">
        <v>1</v>
      </c>
      <c r="F994" s="187" t="s">
        <v>1036</v>
      </c>
      <c r="H994" s="187" t="s">
        <v>3803</v>
      </c>
      <c r="I994" s="187">
        <v>14.3</v>
      </c>
      <c r="J994" s="187">
        <v>17</v>
      </c>
      <c r="M994" s="187">
        <v>2.5</v>
      </c>
      <c r="O994" s="187" t="s">
        <v>3818</v>
      </c>
    </row>
    <row r="995" spans="1:15">
      <c r="A995" s="242">
        <v>43216</v>
      </c>
      <c r="E995" s="195">
        <v>1</v>
      </c>
      <c r="F995" s="187" t="s">
        <v>1041</v>
      </c>
      <c r="H995" s="187" t="s">
        <v>3814</v>
      </c>
      <c r="I995" s="187">
        <v>8.3000000000000007</v>
      </c>
      <c r="J995" s="187">
        <v>10</v>
      </c>
      <c r="M995" s="187">
        <v>1.5</v>
      </c>
      <c r="O995" s="187" t="s">
        <v>3815</v>
      </c>
    </row>
    <row r="996" spans="1:15">
      <c r="A996" s="242">
        <v>43216</v>
      </c>
      <c r="E996" s="195">
        <v>1</v>
      </c>
      <c r="F996" s="187" t="s">
        <v>1041</v>
      </c>
      <c r="H996" s="187" t="s">
        <v>3802</v>
      </c>
      <c r="I996" s="187">
        <v>10</v>
      </c>
      <c r="J996" s="187">
        <v>12</v>
      </c>
      <c r="M996" s="187">
        <v>2</v>
      </c>
      <c r="O996" s="187" t="s">
        <v>3815</v>
      </c>
    </row>
    <row r="997" spans="1:15">
      <c r="A997" s="242">
        <v>43216</v>
      </c>
      <c r="E997" s="195">
        <v>4</v>
      </c>
      <c r="F997" s="187" t="s">
        <v>132</v>
      </c>
      <c r="H997" s="187" t="s">
        <v>3796</v>
      </c>
      <c r="I997" s="187">
        <v>13</v>
      </c>
      <c r="J997" s="187">
        <v>15</v>
      </c>
      <c r="M997" s="187">
        <v>2</v>
      </c>
      <c r="O997" s="187" t="s">
        <v>3815</v>
      </c>
    </row>
    <row r="998" spans="1:15">
      <c r="A998" s="242">
        <v>43216</v>
      </c>
      <c r="E998" s="195">
        <v>1</v>
      </c>
      <c r="F998" s="187" t="s">
        <v>35</v>
      </c>
      <c r="H998" s="187" t="s">
        <v>3828</v>
      </c>
      <c r="I998" s="187">
        <v>14</v>
      </c>
      <c r="J998" s="187">
        <v>16</v>
      </c>
      <c r="M998" s="187">
        <v>2</v>
      </c>
      <c r="O998" s="187" t="s">
        <v>3815</v>
      </c>
    </row>
    <row r="999" spans="1:15">
      <c r="A999" s="242">
        <v>43216</v>
      </c>
      <c r="E999" s="195">
        <v>4</v>
      </c>
      <c r="F999" s="187" t="s">
        <v>680</v>
      </c>
      <c r="H999" s="187" t="s">
        <v>3799</v>
      </c>
      <c r="I999" s="187">
        <v>15</v>
      </c>
      <c r="J999" s="187">
        <v>17</v>
      </c>
      <c r="M999" s="187">
        <v>2</v>
      </c>
      <c r="O999" s="187" t="s">
        <v>3815</v>
      </c>
    </row>
    <row r="1000" spans="1:15">
      <c r="A1000" s="242">
        <v>43216</v>
      </c>
      <c r="E1000" s="195">
        <v>4</v>
      </c>
      <c r="F1000" s="187" t="s">
        <v>317</v>
      </c>
      <c r="H1000" s="187" t="s">
        <v>3832</v>
      </c>
      <c r="I1000" s="187">
        <v>15</v>
      </c>
      <c r="J1000" s="187">
        <v>17</v>
      </c>
      <c r="M1000" s="187">
        <v>2</v>
      </c>
      <c r="O1000" s="187" t="s">
        <v>3815</v>
      </c>
    </row>
    <row r="1001" spans="1:15">
      <c r="A1001" s="242">
        <v>43217</v>
      </c>
      <c r="E1001" s="195">
        <v>4</v>
      </c>
      <c r="F1001" s="187" t="s">
        <v>3723</v>
      </c>
      <c r="H1001" s="187" t="s">
        <v>3797</v>
      </c>
      <c r="I1001" s="187">
        <v>8.3000000000000007</v>
      </c>
      <c r="J1001" s="187">
        <v>11</v>
      </c>
      <c r="M1001" s="187">
        <v>2.5</v>
      </c>
      <c r="O1001" s="187" t="s">
        <v>3816</v>
      </c>
    </row>
    <row r="1002" spans="1:15">
      <c r="A1002" s="242">
        <v>43217</v>
      </c>
      <c r="E1002" s="195">
        <v>4</v>
      </c>
      <c r="F1002" s="187" t="s">
        <v>3811</v>
      </c>
      <c r="H1002" s="187" t="s">
        <v>3796</v>
      </c>
      <c r="I1002" s="187">
        <v>10</v>
      </c>
      <c r="J1002" s="187">
        <v>12</v>
      </c>
      <c r="M1002" s="187">
        <v>2</v>
      </c>
      <c r="O1002" s="187" t="s">
        <v>3816</v>
      </c>
    </row>
    <row r="1003" spans="1:15">
      <c r="A1003" s="242">
        <v>43217</v>
      </c>
      <c r="E1003" s="195">
        <v>4</v>
      </c>
      <c r="F1003" s="187" t="s">
        <v>2919</v>
      </c>
      <c r="H1003" s="187" t="s">
        <v>3822</v>
      </c>
      <c r="I1003" s="187">
        <v>8.3000000000000007</v>
      </c>
      <c r="J1003" s="187">
        <v>10</v>
      </c>
      <c r="M1003" s="187">
        <v>1.5</v>
      </c>
      <c r="O1003" s="187" t="s">
        <v>3815</v>
      </c>
    </row>
    <row r="1004" spans="1:15">
      <c r="A1004" s="242">
        <v>43217</v>
      </c>
      <c r="E1004" s="195">
        <v>4</v>
      </c>
      <c r="F1004" s="187" t="s">
        <v>3811</v>
      </c>
      <c r="H1004" s="187" t="s">
        <v>3797</v>
      </c>
      <c r="I1004" s="187">
        <v>13</v>
      </c>
      <c r="J1004" s="187">
        <v>15</v>
      </c>
      <c r="M1004" s="187">
        <v>2</v>
      </c>
      <c r="O1004" s="187" t="s">
        <v>3816</v>
      </c>
    </row>
    <row r="1005" spans="1:15">
      <c r="A1005" s="242">
        <v>43217</v>
      </c>
      <c r="E1005" s="195">
        <v>4</v>
      </c>
      <c r="F1005" s="187" t="s">
        <v>3723</v>
      </c>
      <c r="H1005" s="187" t="s">
        <v>3803</v>
      </c>
      <c r="I1005" s="187">
        <v>14</v>
      </c>
      <c r="J1005" s="187">
        <v>16</v>
      </c>
      <c r="M1005" s="187">
        <v>2</v>
      </c>
      <c r="O1005" s="187" t="s">
        <v>3816</v>
      </c>
    </row>
    <row r="1006" spans="1:15">
      <c r="A1006" s="242">
        <v>43217</v>
      </c>
      <c r="E1006" s="195">
        <v>4</v>
      </c>
      <c r="F1006" s="187" t="s">
        <v>3811</v>
      </c>
      <c r="H1006" s="187" t="s">
        <v>3819</v>
      </c>
      <c r="I1006" s="187">
        <v>15</v>
      </c>
      <c r="J1006" s="187">
        <v>17</v>
      </c>
      <c r="M1006" s="187">
        <v>2</v>
      </c>
      <c r="O1006" s="187" t="s">
        <v>3816</v>
      </c>
    </row>
    <row r="1007" spans="1:15">
      <c r="A1007" s="242">
        <v>43217</v>
      </c>
      <c r="E1007" s="195">
        <v>4</v>
      </c>
      <c r="F1007" s="187" t="s">
        <v>840</v>
      </c>
      <c r="H1007" s="187" t="s">
        <v>3795</v>
      </c>
      <c r="I1007" s="187">
        <v>10</v>
      </c>
      <c r="J1007" s="187">
        <v>14.3</v>
      </c>
      <c r="M1007" s="187">
        <v>3.5</v>
      </c>
      <c r="O1007" s="187" t="s">
        <v>3815</v>
      </c>
    </row>
    <row r="1008" spans="1:15">
      <c r="A1008" s="242">
        <v>43217</v>
      </c>
      <c r="E1008" s="195">
        <v>4</v>
      </c>
      <c r="F1008" s="187" t="s">
        <v>1069</v>
      </c>
      <c r="H1008" s="187" t="s">
        <v>3796</v>
      </c>
      <c r="I1008" s="187">
        <v>8.3000000000000007</v>
      </c>
      <c r="J1008" s="187">
        <v>12</v>
      </c>
      <c r="M1008" s="187">
        <v>3.5</v>
      </c>
      <c r="O1008" s="187" t="s">
        <v>3818</v>
      </c>
    </row>
    <row r="1009" spans="1:17">
      <c r="A1009" s="242">
        <v>43217</v>
      </c>
      <c r="E1009" s="195">
        <v>1</v>
      </c>
      <c r="F1009" s="187" t="s">
        <v>3712</v>
      </c>
      <c r="H1009" s="187" t="s">
        <v>3820</v>
      </c>
      <c r="I1009" s="187">
        <v>15.3</v>
      </c>
      <c r="J1009" s="187">
        <v>17</v>
      </c>
      <c r="M1009" s="187">
        <v>1.5</v>
      </c>
      <c r="O1009" s="187" t="s">
        <v>3816</v>
      </c>
    </row>
    <row r="1010" spans="1:17">
      <c r="A1010" s="242">
        <v>43217</v>
      </c>
      <c r="E1010" s="195">
        <v>1</v>
      </c>
      <c r="F1010" s="187" t="s">
        <v>3777</v>
      </c>
      <c r="H1010" s="187" t="s">
        <v>3799</v>
      </c>
      <c r="I1010" s="187">
        <v>14.3</v>
      </c>
      <c r="J1010" s="187">
        <v>17</v>
      </c>
      <c r="M1010" s="187">
        <v>2.5</v>
      </c>
      <c r="O1010" s="187" t="s">
        <v>3815</v>
      </c>
    </row>
    <row r="1011" spans="1:17">
      <c r="A1011" s="242">
        <v>43217</v>
      </c>
      <c r="E1011" s="195">
        <v>1</v>
      </c>
      <c r="F1011" s="187" t="s">
        <v>3812</v>
      </c>
      <c r="H1011" s="187" t="s">
        <v>3831</v>
      </c>
      <c r="I1011" s="187">
        <v>8.3000000000000007</v>
      </c>
      <c r="J1011" s="187">
        <v>12</v>
      </c>
      <c r="L1011" s="187">
        <v>0.5</v>
      </c>
      <c r="M1011" s="187">
        <v>1</v>
      </c>
      <c r="N1011" s="187">
        <v>2</v>
      </c>
      <c r="O1011" s="187" t="s">
        <v>3805</v>
      </c>
      <c r="Q1011" s="187">
        <f>SUM(K1011:K1012)*100/20</f>
        <v>0</v>
      </c>
    </row>
    <row r="1012" spans="1:17">
      <c r="A1012" s="242">
        <v>43217</v>
      </c>
      <c r="E1012" s="195">
        <v>4</v>
      </c>
      <c r="F1012" s="187" t="s">
        <v>3811</v>
      </c>
      <c r="H1012" s="187" t="s">
        <v>3806</v>
      </c>
      <c r="I1012" s="187">
        <v>13</v>
      </c>
      <c r="J1012" s="187">
        <v>16</v>
      </c>
      <c r="L1012" s="187">
        <v>0.5</v>
      </c>
      <c r="N1012" s="187">
        <v>2.5</v>
      </c>
      <c r="O1012" s="187" t="s">
        <v>3805</v>
      </c>
    </row>
    <row r="1013" spans="1:17">
      <c r="A1013" s="242">
        <v>43213</v>
      </c>
      <c r="E1013" s="195">
        <v>1</v>
      </c>
      <c r="F1013" s="187" t="s">
        <v>132</v>
      </c>
      <c r="H1013" s="187" t="s">
        <v>3795</v>
      </c>
      <c r="I1013" s="187">
        <v>8.3000000000000007</v>
      </c>
      <c r="J1013" s="187">
        <v>10</v>
      </c>
      <c r="L1013" s="187">
        <v>0.33333333333333298</v>
      </c>
      <c r="N1013" s="187">
        <f>1+0.166666666666667</f>
        <v>1.166666666666667</v>
      </c>
      <c r="O1013" s="187" t="s">
        <v>3808</v>
      </c>
      <c r="Q1013" s="187">
        <f>SUM(K1013:K1016)*100/20</f>
        <v>0</v>
      </c>
    </row>
    <row r="1014" spans="1:17">
      <c r="A1014" s="242">
        <v>43213</v>
      </c>
      <c r="E1014" s="195">
        <v>1</v>
      </c>
      <c r="F1014" s="187" t="s">
        <v>377</v>
      </c>
      <c r="H1014" s="187" t="s">
        <v>3833</v>
      </c>
      <c r="I1014" s="187">
        <v>10</v>
      </c>
      <c r="J1014" s="187">
        <v>12</v>
      </c>
      <c r="L1014" s="187">
        <v>0.5</v>
      </c>
      <c r="M1014" s="187">
        <v>1.5</v>
      </c>
      <c r="O1014" s="187" t="s">
        <v>3808</v>
      </c>
    </row>
    <row r="1015" spans="1:17">
      <c r="A1015" s="242">
        <v>43213</v>
      </c>
      <c r="E1015" s="195">
        <v>4</v>
      </c>
      <c r="F1015" s="187" t="s">
        <v>211</v>
      </c>
      <c r="H1015" s="187" t="s">
        <v>3796</v>
      </c>
      <c r="I1015" s="187">
        <v>13</v>
      </c>
      <c r="J1015" s="187">
        <v>15</v>
      </c>
      <c r="L1015" s="187">
        <v>0.33333333333333298</v>
      </c>
      <c r="M1015" s="187">
        <f>1+0.666666666666667</f>
        <v>1.666666666666667</v>
      </c>
      <c r="O1015" s="187" t="s">
        <v>3808</v>
      </c>
    </row>
    <row r="1016" spans="1:17">
      <c r="A1016" s="242">
        <v>43213</v>
      </c>
      <c r="E1016" s="195">
        <v>4</v>
      </c>
      <c r="F1016" s="187" t="s">
        <v>211</v>
      </c>
      <c r="H1016" s="187" t="s">
        <v>3797</v>
      </c>
      <c r="I1016" s="187">
        <v>15</v>
      </c>
      <c r="J1016" s="187">
        <v>17</v>
      </c>
      <c r="L1016" s="187">
        <v>0.33333333333333298</v>
      </c>
      <c r="M1016" s="187">
        <f>1+0.666666666666667</f>
        <v>1.666666666666667</v>
      </c>
      <c r="O1016" s="187" t="s">
        <v>3808</v>
      </c>
    </row>
    <row r="1017" spans="1:17">
      <c r="A1017" s="242">
        <v>43214</v>
      </c>
      <c r="E1017" s="195">
        <v>4</v>
      </c>
      <c r="F1017" s="187" t="s">
        <v>368</v>
      </c>
      <c r="H1017" s="187" t="s">
        <v>3796</v>
      </c>
      <c r="I1017" s="187">
        <v>8.3000000000000007</v>
      </c>
      <c r="J1017" s="187">
        <v>9.3000000000000007</v>
      </c>
      <c r="L1017" s="187">
        <v>0.16666666666666699</v>
      </c>
      <c r="M1017" s="187">
        <v>0.83333333333333304</v>
      </c>
      <c r="O1017" s="187" t="s">
        <v>3808</v>
      </c>
      <c r="Q1017" s="187">
        <f>SUM(K1017:K1020)*100/20</f>
        <v>0</v>
      </c>
    </row>
    <row r="1018" spans="1:17">
      <c r="A1018" s="242">
        <v>43214</v>
      </c>
      <c r="E1018" s="195">
        <v>1</v>
      </c>
      <c r="F1018" s="187" t="s">
        <v>774</v>
      </c>
      <c r="H1018" s="187" t="s">
        <v>3794</v>
      </c>
      <c r="I1018" s="187">
        <v>9.3000000000000007</v>
      </c>
      <c r="J1018" s="187">
        <v>10.3</v>
      </c>
      <c r="L1018" s="187">
        <v>0.33333333333333298</v>
      </c>
      <c r="M1018" s="187">
        <v>0.66666666666666696</v>
      </c>
      <c r="O1018" s="187" t="s">
        <v>3808</v>
      </c>
    </row>
    <row r="1019" spans="1:17">
      <c r="A1019" s="242">
        <v>43214</v>
      </c>
      <c r="E1019" s="195">
        <v>1</v>
      </c>
      <c r="F1019" s="187" t="s">
        <v>369</v>
      </c>
      <c r="H1019" s="187" t="s">
        <v>3810</v>
      </c>
      <c r="I1019" s="187">
        <v>10.3</v>
      </c>
      <c r="J1019" s="187">
        <v>12</v>
      </c>
      <c r="L1019" s="187">
        <v>0.33333333333333298</v>
      </c>
      <c r="M1019" s="187">
        <f>1+0.166666666666667</f>
        <v>1.166666666666667</v>
      </c>
      <c r="O1019" s="187" t="s">
        <v>3808</v>
      </c>
    </row>
    <row r="1020" spans="1:17">
      <c r="A1020" s="242">
        <v>43214</v>
      </c>
      <c r="E1020" s="195">
        <v>6</v>
      </c>
      <c r="F1020" s="187" t="s">
        <v>3807</v>
      </c>
      <c r="I1020" s="187">
        <v>13</v>
      </c>
      <c r="J1020" s="187">
        <v>17</v>
      </c>
      <c r="L1020" s="187">
        <v>0.66666666666666696</v>
      </c>
      <c r="M1020" s="187">
        <f>3+0.333333333333333</f>
        <v>3.333333333333333</v>
      </c>
      <c r="O1020" s="187" t="s">
        <v>3808</v>
      </c>
    </row>
    <row r="1021" spans="1:17">
      <c r="A1021" s="242">
        <v>43216</v>
      </c>
      <c r="E1021" s="195">
        <v>6</v>
      </c>
      <c r="F1021" s="187" t="s">
        <v>35</v>
      </c>
      <c r="H1021" s="187" t="s">
        <v>3828</v>
      </c>
      <c r="I1021" s="187">
        <v>8.3000000000000007</v>
      </c>
      <c r="J1021" s="187">
        <v>10.3</v>
      </c>
      <c r="L1021" s="187">
        <v>0.5</v>
      </c>
      <c r="M1021" s="187">
        <v>1.5</v>
      </c>
      <c r="O1021" s="187" t="s">
        <v>3808</v>
      </c>
      <c r="Q1021" s="187">
        <f>SUM(K1021:K1023)*100/20</f>
        <v>0</v>
      </c>
    </row>
    <row r="1022" spans="1:17">
      <c r="A1022" s="242">
        <v>43216</v>
      </c>
      <c r="E1022" s="195">
        <v>4</v>
      </c>
      <c r="F1022" s="187" t="s">
        <v>553</v>
      </c>
      <c r="H1022" s="187" t="s">
        <v>3806</v>
      </c>
      <c r="I1022" s="187">
        <v>10.3</v>
      </c>
      <c r="J1022" s="187">
        <v>14</v>
      </c>
      <c r="L1022" s="187">
        <v>0.5</v>
      </c>
      <c r="M1022" s="187">
        <v>2</v>
      </c>
      <c r="O1022" s="187" t="s">
        <v>3808</v>
      </c>
    </row>
    <row r="1023" spans="1:17">
      <c r="A1023" s="242">
        <v>43216</v>
      </c>
      <c r="E1023" s="195">
        <v>4</v>
      </c>
      <c r="F1023" s="187" t="s">
        <v>553</v>
      </c>
      <c r="H1023" s="187" t="s">
        <v>3824</v>
      </c>
      <c r="I1023" s="187">
        <v>14</v>
      </c>
      <c r="J1023" s="187">
        <v>17</v>
      </c>
      <c r="L1023" s="187">
        <v>0.66666666666666696</v>
      </c>
      <c r="M1023" s="187">
        <f>2+0.333333333333333</f>
        <v>2.333333333333333</v>
      </c>
      <c r="O1023" s="187" t="s">
        <v>3808</v>
      </c>
    </row>
    <row r="1024" spans="1:17">
      <c r="A1024" s="242">
        <v>43217</v>
      </c>
      <c r="E1024" s="195">
        <v>6</v>
      </c>
      <c r="F1024" s="187" t="s">
        <v>3825</v>
      </c>
      <c r="H1024" s="187" t="s">
        <v>3799</v>
      </c>
      <c r="I1024" s="187">
        <v>10</v>
      </c>
      <c r="J1024" s="187">
        <v>11</v>
      </c>
      <c r="L1024" s="187">
        <v>0.33333333333333298</v>
      </c>
      <c r="M1024" s="187">
        <v>0.66666666666666696</v>
      </c>
      <c r="O1024" s="187" t="s">
        <v>3805</v>
      </c>
      <c r="Q1024" s="187">
        <f>SUM(K1024:K1025)*100/20</f>
        <v>0</v>
      </c>
    </row>
    <row r="1025" spans="1:15">
      <c r="A1025" s="242">
        <v>43217</v>
      </c>
      <c r="E1025" s="195">
        <v>1</v>
      </c>
      <c r="F1025" s="187" t="s">
        <v>3692</v>
      </c>
      <c r="H1025" s="187" t="s">
        <v>3820</v>
      </c>
      <c r="I1025" s="187">
        <v>11</v>
      </c>
      <c r="J1025" s="187">
        <v>16</v>
      </c>
      <c r="L1025" s="187">
        <v>0.66666666666666696</v>
      </c>
      <c r="M1025" s="187">
        <v>1</v>
      </c>
      <c r="N1025" s="187">
        <f>2+0.333333333333333</f>
        <v>2.333333333333333</v>
      </c>
      <c r="O1025" s="187" t="s">
        <v>3805</v>
      </c>
    </row>
    <row r="1026" spans="1:15">
      <c r="A1026" s="242">
        <v>43202</v>
      </c>
      <c r="E1026" s="195">
        <v>2</v>
      </c>
      <c r="F1026" s="187" t="s">
        <v>3723</v>
      </c>
      <c r="H1026" s="187" t="s">
        <v>3797</v>
      </c>
      <c r="I1026" s="187">
        <v>8.3000000000000007</v>
      </c>
      <c r="J1026" s="187">
        <v>17</v>
      </c>
      <c r="M1026" s="187">
        <v>7.5</v>
      </c>
      <c r="O1026" s="187" t="s">
        <v>3813</v>
      </c>
    </row>
    <row r="1027" spans="1:15">
      <c r="A1027" s="242">
        <v>43203</v>
      </c>
      <c r="E1027" s="195">
        <v>2</v>
      </c>
      <c r="F1027" s="187" t="s">
        <v>2922</v>
      </c>
      <c r="H1027" s="187" t="s">
        <v>3796</v>
      </c>
      <c r="I1027" s="187">
        <v>8.3000000000000007</v>
      </c>
      <c r="J1027" s="187">
        <v>17</v>
      </c>
      <c r="M1027" s="187">
        <v>7.5</v>
      </c>
      <c r="O1027" s="187" t="s">
        <v>3813</v>
      </c>
    </row>
    <row r="1028" spans="1:15">
      <c r="A1028" s="242">
        <v>43204</v>
      </c>
      <c r="E1028" s="195">
        <v>2</v>
      </c>
      <c r="F1028" s="187" t="s">
        <v>2922</v>
      </c>
      <c r="H1028" s="187" t="s">
        <v>3796</v>
      </c>
      <c r="I1028" s="187">
        <v>8.3000000000000007</v>
      </c>
      <c r="J1028" s="187">
        <v>17</v>
      </c>
      <c r="M1028" s="187">
        <v>7.5</v>
      </c>
      <c r="O1028" s="187" t="s">
        <v>3813</v>
      </c>
    </row>
    <row r="1029" spans="1:15">
      <c r="A1029" s="242">
        <v>43206</v>
      </c>
      <c r="E1029" s="195">
        <v>2</v>
      </c>
      <c r="F1029" s="187" t="s">
        <v>2922</v>
      </c>
      <c r="H1029" s="187" t="s">
        <v>3796</v>
      </c>
      <c r="I1029" s="187">
        <v>8.3000000000000007</v>
      </c>
      <c r="J1029" s="187">
        <v>17</v>
      </c>
      <c r="M1029" s="187">
        <v>7.5</v>
      </c>
      <c r="O1029" s="187" t="s">
        <v>3813</v>
      </c>
    </row>
    <row r="1030" spans="1:15">
      <c r="A1030" s="242">
        <v>43207</v>
      </c>
      <c r="E1030" s="195">
        <v>2</v>
      </c>
      <c r="F1030" s="187" t="s">
        <v>2922</v>
      </c>
      <c r="H1030" s="187" t="s">
        <v>3796</v>
      </c>
      <c r="I1030" s="187">
        <v>8.3000000000000007</v>
      </c>
      <c r="J1030" s="187">
        <v>17</v>
      </c>
      <c r="M1030" s="187">
        <v>7.5</v>
      </c>
      <c r="O1030" s="187" t="s">
        <v>3813</v>
      </c>
    </row>
    <row r="1031" spans="1:15">
      <c r="A1031" s="242">
        <v>43208</v>
      </c>
      <c r="E1031" s="195">
        <v>2</v>
      </c>
      <c r="F1031" s="187" t="s">
        <v>656</v>
      </c>
      <c r="H1031" s="187" t="s">
        <v>3803</v>
      </c>
      <c r="I1031" s="187">
        <v>8.3000000000000007</v>
      </c>
      <c r="J1031" s="187">
        <v>17</v>
      </c>
      <c r="M1031" s="187">
        <v>7.5</v>
      </c>
      <c r="O1031" s="187" t="s">
        <v>3813</v>
      </c>
    </row>
    <row r="1032" spans="1:15">
      <c r="A1032" s="242">
        <v>43209</v>
      </c>
      <c r="E1032" s="195">
        <v>2</v>
      </c>
      <c r="F1032" s="187" t="s">
        <v>2922</v>
      </c>
      <c r="H1032" s="187" t="s">
        <v>3796</v>
      </c>
      <c r="I1032" s="187">
        <v>8.3000000000000007</v>
      </c>
      <c r="J1032" s="187">
        <v>17</v>
      </c>
      <c r="M1032" s="187">
        <v>7.5</v>
      </c>
      <c r="O1032" s="187" t="s">
        <v>3813</v>
      </c>
    </row>
    <row r="1033" spans="1:15">
      <c r="A1033" s="242">
        <v>43210</v>
      </c>
      <c r="E1033" s="195">
        <v>2</v>
      </c>
      <c r="F1033" s="187" t="s">
        <v>2922</v>
      </c>
      <c r="H1033" s="187" t="s">
        <v>3796</v>
      </c>
      <c r="I1033" s="187">
        <v>8.3000000000000007</v>
      </c>
      <c r="J1033" s="187">
        <v>17</v>
      </c>
      <c r="M1033" s="187">
        <v>7.5</v>
      </c>
      <c r="O1033" s="187" t="s">
        <v>3813</v>
      </c>
    </row>
    <row r="1034" spans="1:15">
      <c r="A1034" s="242">
        <v>43213</v>
      </c>
      <c r="E1034" s="195">
        <v>2</v>
      </c>
      <c r="F1034" s="187" t="s">
        <v>623</v>
      </c>
      <c r="H1034" s="187" t="s">
        <v>3842</v>
      </c>
      <c r="I1034" s="187">
        <v>8.3000000000000007</v>
      </c>
      <c r="J1034" s="187">
        <v>17</v>
      </c>
      <c r="M1034" s="187">
        <v>7.5</v>
      </c>
      <c r="O1034" s="187" t="s">
        <v>3813</v>
      </c>
    </row>
    <row r="1035" spans="1:15">
      <c r="A1035" s="242">
        <v>43214</v>
      </c>
      <c r="E1035" s="195">
        <v>2</v>
      </c>
      <c r="F1035" s="187" t="s">
        <v>554</v>
      </c>
      <c r="H1035" s="187" t="s">
        <v>1224</v>
      </c>
      <c r="I1035" s="187">
        <v>8.3000000000000007</v>
      </c>
      <c r="J1035" s="187">
        <v>17</v>
      </c>
      <c r="M1035" s="187">
        <v>7.5</v>
      </c>
      <c r="O1035" s="187" t="s">
        <v>3813</v>
      </c>
    </row>
    <row r="1036" spans="1:15">
      <c r="A1036" s="242">
        <v>43216</v>
      </c>
      <c r="E1036" s="195">
        <v>2</v>
      </c>
      <c r="F1036" s="187" t="s">
        <v>554</v>
      </c>
      <c r="H1036" s="187" t="s">
        <v>1224</v>
      </c>
      <c r="I1036" s="187">
        <v>8.3000000000000007</v>
      </c>
      <c r="J1036" s="187">
        <v>17</v>
      </c>
      <c r="M1036" s="187">
        <v>7.5</v>
      </c>
      <c r="O1036" s="187" t="s">
        <v>3813</v>
      </c>
    </row>
    <row r="1037" spans="1:15">
      <c r="A1037" s="242">
        <v>43217</v>
      </c>
      <c r="E1037" s="195">
        <v>2</v>
      </c>
      <c r="F1037" s="187" t="s">
        <v>554</v>
      </c>
      <c r="H1037" s="187" t="s">
        <v>1224</v>
      </c>
      <c r="I1037" s="187">
        <v>8.3000000000000007</v>
      </c>
      <c r="J1037" s="187">
        <v>17</v>
      </c>
      <c r="M1037" s="187">
        <v>7.5</v>
      </c>
      <c r="O1037" s="187" t="s">
        <v>3813</v>
      </c>
    </row>
    <row r="1038" spans="1:15">
      <c r="A1038" s="242">
        <v>43217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DETAIL </vt:lpstr>
      <vt:lpstr>Sheet1</vt:lpstr>
      <vt:lpstr>NAME INDEX</vt:lpstr>
      <vt:lpstr>Chart1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Son - Tooling</dc:creator>
  <cp:lastModifiedBy>An</cp:lastModifiedBy>
  <cp:lastPrinted>2025-04-04T07:35:47Z</cp:lastPrinted>
  <dcterms:created xsi:type="dcterms:W3CDTF">2013-10-07T08:52:04Z</dcterms:created>
  <dcterms:modified xsi:type="dcterms:W3CDTF">2026-10-15T14:09:03Z</dcterms:modified>
</cp:coreProperties>
</file>